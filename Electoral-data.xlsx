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umbent Presidents (Worldwide" sheetId="1" r:id="rId5"/>
    <sheet state="visible" name="2015 Nigeria Presidential Elect" sheetId="2" r:id="rId6"/>
    <sheet state="visible" name="2023 Nigeria Presidential Elect" sheetId="3" r:id="rId7"/>
  </sheets>
  <definedNames/>
  <calcPr/>
</workbook>
</file>

<file path=xl/sharedStrings.xml><?xml version="1.0" encoding="utf-8"?>
<sst xmlns="http://schemas.openxmlformats.org/spreadsheetml/2006/main" count="930" uniqueCount="408">
  <si>
    <t xml:space="preserve"> </t>
  </si>
  <si>
    <t>No.</t>
  </si>
  <si>
    <t>Candidate</t>
  </si>
  <si>
    <t>Party</t>
  </si>
  <si>
    <t>Votes</t>
  </si>
  <si>
    <t>% of Valid Votes</t>
  </si>
  <si>
    <t>Result</t>
  </si>
  <si>
    <t>Bola Ahmed Tinubu</t>
  </si>
  <si>
    <t>Muhammadu Buhari</t>
  </si>
  <si>
    <t>All Progressives Congress (APC)</t>
  </si>
  <si>
    <t>36.61%</t>
  </si>
  <si>
    <t>53.96%</t>
  </si>
  <si>
    <t>WON</t>
  </si>
  <si>
    <t>Atiku Abubakar</t>
  </si>
  <si>
    <t>Goodluck Ebele Jonathan</t>
  </si>
  <si>
    <t>Peoples Democratic Party (PDP)</t>
  </si>
  <si>
    <t>44.96%</t>
  </si>
  <si>
    <t>29.07%</t>
  </si>
  <si>
    <t>Lost</t>
  </si>
  <si>
    <t>Ayeni Musa Adebayo</t>
  </si>
  <si>
    <t>Peter Obi</t>
  </si>
  <si>
    <t>Alliance for Positive Action (APA)</t>
  </si>
  <si>
    <t>Labour Party (LP)</t>
  </si>
  <si>
    <t>0.19%</t>
  </si>
  <si>
    <t>25.39%</t>
  </si>
  <si>
    <t>Ganiyu Galadima</t>
  </si>
  <si>
    <t>Advanced Congress of Democrats (ACPN)</t>
  </si>
  <si>
    <t>Rabiu Musa Kwankwaso</t>
  </si>
  <si>
    <t>New Nigeria Peoples Party (NNPP)</t>
  </si>
  <si>
    <t>0.14%</t>
  </si>
  <si>
    <t>6.23%</t>
  </si>
  <si>
    <t>Chief Sam Eke</t>
  </si>
  <si>
    <t>Citizens Popular Party (CPP)</t>
  </si>
  <si>
    <t>Hamza al-Mustapha</t>
  </si>
  <si>
    <t>0.13%</t>
  </si>
  <si>
    <t>Action Alliance (AA)</t>
  </si>
  <si>
    <t>n/a</t>
  </si>
  <si>
    <t>Rafiu Salau</t>
  </si>
  <si>
    <t>Alliance for Democracy (AD)</t>
  </si>
  <si>
    <t>0.11%</t>
  </si>
  <si>
    <t>Christopher Imumolen</t>
  </si>
  <si>
    <t>Dr. Mani Ibrahim Ahmad</t>
  </si>
  <si>
    <t>Accord</t>
  </si>
  <si>
    <t>African Democratic Congress (ADC)</t>
  </si>
  <si>
    <t>0.10%</t>
  </si>
  <si>
    <t>Yabagi Sani</t>
  </si>
  <si>
    <t>Action Democratic Party (ADP)</t>
  </si>
  <si>
    <t>Allagoa Kelvin Chinedu</t>
  </si>
  <si>
    <t>Osita Nnadi</t>
  </si>
  <si>
    <t>Progressive Peoples Alliance (PPN)</t>
  </si>
  <si>
    <t>Action Peoples Party (APP)</t>
  </si>
  <si>
    <t>0.09%</t>
  </si>
  <si>
    <t>Martin Onovo</t>
  </si>
  <si>
    <t>Omoyele Sowore</t>
  </si>
  <si>
    <t>National Conscience Party (NCP)</t>
  </si>
  <si>
    <t>African Action Congress (AAC)</t>
  </si>
  <si>
    <t>Senator Tunde Anifowose-Kelani</t>
  </si>
  <si>
    <t>Accord Alliance (AA)</t>
  </si>
  <si>
    <t>Dumebi Kachikwu</t>
  </si>
  <si>
    <t>0.08%</t>
  </si>
  <si>
    <t>Dr. Chekwas Okorie</t>
  </si>
  <si>
    <t>Princess Chichi Ojei</t>
  </si>
  <si>
    <t>United Progressive Party (UPP)</t>
  </si>
  <si>
    <t>Allied Peoples Movement (APM)</t>
  </si>
  <si>
    <t>0.06%</t>
  </si>
  <si>
    <t>Comfort Oluremi Sonaiya</t>
  </si>
  <si>
    <t>KOWA Party</t>
  </si>
  <si>
    <t>Peter Umeadi</t>
  </si>
  <si>
    <t>All Progressives Grand Alliance (APGA)</t>
  </si>
  <si>
    <t>0.05%</t>
  </si>
  <si>
    <t>Sunday Adenuga</t>
  </si>
  <si>
    <t>Boot Party (BP)</t>
  </si>
  <si>
    <t>Godson Mgbodile Okoye</t>
  </si>
  <si>
    <t>United Democratic Party (UDP)</t>
  </si>
  <si>
    <t>0.03%</t>
  </si>
  <si>
    <t>Felix Johnson Osakwe</t>
  </si>
  <si>
    <t>National Rescue Movement (NRM)</t>
  </si>
  <si>
    <t>Ambrose Albert Owuru</t>
  </si>
  <si>
    <t>Hope Party (HOPE)</t>
  </si>
  <si>
    <t>Kola Abiola</t>
  </si>
  <si>
    <t>People's Redemption Party (PRP)</t>
  </si>
  <si>
    <t>TOTAL VALID VOTES</t>
  </si>
  <si>
    <t>Adewole Adebayo</t>
  </si>
  <si>
    <t>Social Democratic Party (SDP)</t>
  </si>
  <si>
    <t>2015 Nigerian Presidential Election — Voter Participation Data</t>
  </si>
  <si>
    <t>Malik Ado-Ibrahim</t>
  </si>
  <si>
    <t>Metric</t>
  </si>
  <si>
    <t>Young Progressives Party (YPP)</t>
  </si>
  <si>
    <t>Figure</t>
  </si>
  <si>
    <t>% of Registered Voters</t>
  </si>
  <si>
    <t>Notes</t>
  </si>
  <si>
    <t>Dan Nwanyanwu</t>
  </si>
  <si>
    <t>Accredited voters (PRIMARY — INEC/Channels TV)</t>
  </si>
  <si>
    <t>Zenith Labour Party / Zenith Progressives Alliance (ZLP/ZPA)</t>
  </si>
  <si>
    <t>46.13%</t>
  </si>
  <si>
    <t>Voters who were accredited/verified to vote on election day</t>
  </si>
  <si>
    <t>Total votes cast (PRIMARY — INEC/Channels TV)</t>
  </si>
  <si>
    <t>TOTAL VALID VOTES (all 18 candidates)</t>
  </si>
  <si>
    <t>42.75%</t>
  </si>
  <si>
    <t>All ballots cast, valid + rejected</t>
  </si>
  <si>
    <t>Total valid votes</t>
  </si>
  <si>
    <t>2023 Nigerian Presidential Election — Voter Participation Data</t>
  </si>
  <si>
    <t>41.53%</t>
  </si>
  <si>
    <t>Matches sum of all 14 candidates' votes exactly</t>
  </si>
  <si>
    <t>Rejected/invalid votes</t>
  </si>
  <si>
    <t>1.23%</t>
  </si>
  <si>
    <t>Spoiled or invalid ballots</t>
  </si>
  <si>
    <t>Accredited voters (participated)</t>
  </si>
  <si>
    <t>— Alternate figure: Accredited voters (Situation Room analysis)</t>
  </si>
  <si>
    <t>27.05%</t>
  </si>
  <si>
    <t>INEC-certified; often reported as 28.63% of PVC collectors rather than all registered voters -- see note below</t>
  </si>
  <si>
    <t>46.07%</t>
  </si>
  <si>
    <t>Total votes cast</t>
  </si>
  <si>
    <t>Civil society post-election report; close to but not identical to INEC live figure</t>
  </si>
  <si>
    <t>— Alternate figure: Total votes cast (Situation Room analysis)</t>
  </si>
  <si>
    <t>26.71%</t>
  </si>
  <si>
    <t>Valid + rejected votes; matches official turnout figure of 26.71%</t>
  </si>
  <si>
    <t>42.72%</t>
  </si>
  <si>
    <t>Civil society post-election report</t>
  </si>
  <si>
    <t>25.70%</t>
  </si>
  <si>
    <t>Sum across all 18 candidates</t>
  </si>
  <si>
    <t>Source</t>
  </si>
  <si>
    <t>Total registered voters (PRIMARY)</t>
  </si>
  <si>
    <t>1.00%</t>
  </si>
  <si>
    <t>-</t>
  </si>
  <si>
    <t>Wikipedia (2015 Nigerian general election); Nigeria Civil Society Situation Room report</t>
  </si>
  <si>
    <t>PVC (Permanent Voter Card) holders -- eligible to vote</t>
  </si>
  <si>
    <t>Total registered voters (alternate figure)</t>
  </si>
  <si>
    <t>93.30%</t>
  </si>
  <si>
    <t>Distinct from 'registered voters'; these are the subset who actually collected their PVC and were eligible to vote</t>
  </si>
  <si>
    <t>African Studies Centre Leiden (ASCL) post-election report</t>
  </si>
  <si>
    <t>Number of presidential candidates on ballot</t>
  </si>
  <si>
    <t>Source/Notes</t>
  </si>
  <si>
    <t>INEC; Africa Check factsheet</t>
  </si>
  <si>
    <t>Total registered voters (final, certified)</t>
  </si>
  <si>
    <t>Number of registered political parties (overall)</t>
  </si>
  <si>
    <t>African Studies Centre Leiden</t>
  </si>
  <si>
    <t>INEC, mid-January 2023 (after removing invalid/double/underage registrants)</t>
  </si>
  <si>
    <t>PVC (Permanent Voter Card) collected</t>
  </si>
  <si>
    <t>93.3% of registered voters; only PVC holders were eligible to vote</t>
  </si>
  <si>
    <t>New voters registered during 2022 continuous registration drive</t>
  </si>
  <si>
    <t>~12,300,000</t>
  </si>
  <si>
    <t>INEC; ~8.75 million of these were under age 34</t>
  </si>
  <si>
    <t>Invalid/double/underage registrants removed</t>
  </si>
  <si>
    <t>~2,780,000 (cumulative)</t>
  </si>
  <si>
    <t>INEC delisting exercise, Sept-Oct 2022</t>
  </si>
  <si>
    <t>INEC final list, following 2019 deregistration of 74 parties</t>
  </si>
  <si>
    <t>Incumbent Presidents Contesting Re-election (1979–2023)</t>
  </si>
  <si>
    <t>Country</t>
  </si>
  <si>
    <t>Region</t>
  </si>
  <si>
    <t>President</t>
  </si>
  <si>
    <t>Election Year</t>
  </si>
  <si>
    <t>Incumbent Contesting?</t>
  </si>
  <si>
    <t>Outcome (Won/Lost)</t>
  </si>
  <si>
    <t>Term # if Won</t>
  </si>
  <si>
    <t>Margin / Vote Share</t>
  </si>
  <si>
    <t xml:space="preserve">COUNTA of </t>
  </si>
  <si>
    <t>Nigeria</t>
  </si>
  <si>
    <t>West Africa</t>
  </si>
  <si>
    <t>Shehu Shagari</t>
  </si>
  <si>
    <t>No (first election, Second Republic)</t>
  </si>
  <si>
    <t>Won (first term)</t>
  </si>
  <si>
    <t>1</t>
  </si>
  <si>
    <t>33.8%</t>
  </si>
  <si>
    <t>First president of the Second Republic; contested threshold dispute over 25%-in-13-states rule.</t>
  </si>
  <si>
    <t>Wikipedia; CSMonitor</t>
  </si>
  <si>
    <t>Did not contest general election</t>
  </si>
  <si>
    <t>N/A — did not contest</t>
  </si>
  <si>
    <t>Won</t>
  </si>
  <si>
    <t>Won (after annulment/rerun)</t>
  </si>
  <si>
    <t>Won (disputed)</t>
  </si>
  <si>
    <t>Grand Total</t>
  </si>
  <si>
    <t>Yes</t>
  </si>
  <si>
    <t>2</t>
  </si>
  <si>
    <t>47.5%</t>
  </si>
  <si>
    <t>Re-elected amid FEDECO tally disputes and later-annulled by military coup (Dec 1983) before completing term.</t>
  </si>
  <si>
    <t>Wikipedia; African Elections DB; CSMonitor</t>
  </si>
  <si>
    <t>Central Africa</t>
  </si>
  <si>
    <t>Olusegun Obasanjo</t>
  </si>
  <si>
    <t>No (first election, Fourth Republic)</t>
  </si>
  <si>
    <t>62.8%</t>
  </si>
  <si>
    <t>First president after return to civilian rule.</t>
  </si>
  <si>
    <t>IFES ElectionGuide</t>
  </si>
  <si>
    <t>East Africa</t>
  </si>
  <si>
    <t>61.9%</t>
  </si>
  <si>
    <t>Defeated Muhammadu Buhari by ~11.7M votes; opposition alleged rigging, courts upheld result.</t>
  </si>
  <si>
    <t>Wikipedia; VOA; CNN; IFES</t>
  </si>
  <si>
    <t>Europe/Asia</t>
  </si>
  <si>
    <t>Umaru Yar'Adua</t>
  </si>
  <si>
    <t>No (first election)</t>
  </si>
  <si>
    <t>69.6%</t>
  </si>
  <si>
    <t>Died in office (May 2010); succeeded by VP Goodluck Jonathan; never contested re-election.</t>
  </si>
  <si>
    <t>Wikipedia</t>
  </si>
  <si>
    <t>North Africa</t>
  </si>
  <si>
    <t>Goodluck Jonathan</t>
  </si>
  <si>
    <t>Yes (as sitting president since 2010 succession)</t>
  </si>
  <si>
    <t>2 (1 elected term)</t>
  </si>
  <si>
    <t>58.9%</t>
  </si>
  <si>
    <t>First elected term after completing Yar'Adua's term; defeated Buhari.</t>
  </si>
  <si>
    <t>Wikipedia; IFES</t>
  </si>
  <si>
    <t>North America</t>
  </si>
  <si>
    <t>—</t>
  </si>
  <si>
    <t>44.96% vs Buhari 53.95%</t>
  </si>
  <si>
    <t>First incumbent Nigerian president defeated at the ballot box; conceded gracefully, praised for peaceful transition.</t>
  </si>
  <si>
    <t>France24; Britannica; CNN; Al Jazeera; BBC</t>
  </si>
  <si>
    <t>No (challenger, previously lost 2003/2007/2011)</t>
  </si>
  <si>
    <t>53.95%</t>
  </si>
  <si>
    <t>First opposition candidate to defeat a sitting president in Nigeria.</t>
  </si>
  <si>
    <t>BBC; CNN</t>
  </si>
  <si>
    <t>South America</t>
  </si>
  <si>
    <t>56% vs Atiku 41%</t>
  </si>
  <si>
    <t>Result challenged in court by Atiku Abubakar; upheld.</t>
  </si>
  <si>
    <t>CFR; Brookings; CBC; BBC</t>
  </si>
  <si>
    <t>Southern Africa</t>
  </si>
  <si>
    <t>Bola Tinubu</t>
  </si>
  <si>
    <t>36.6%</t>
  </si>
  <si>
    <t>Lowest winning vote share in Fourth Republic history; result challenged in court, upheld.</t>
  </si>
  <si>
    <t>INEC; Reuters</t>
  </si>
  <si>
    <t>Côte d'Ivoire</t>
  </si>
  <si>
    <t>Alassane Ouattara</t>
  </si>
  <si>
    <t>83.7% (n/a — %not fully verified)</t>
  </si>
  <si>
    <t>Re-elected in landslide.</t>
  </si>
  <si>
    <t>China.org.cn; AllAfrica</t>
  </si>
  <si>
    <t>3</t>
  </si>
  <si>
    <t>94% (n/a — not fully verified)</t>
  </si>
  <si>
    <t>Contested a disputed 3rd term after 2016 constitutional change reset term count; opposition boycotted; violence preceded vote.</t>
  </si>
  <si>
    <t>China.org.cn (secondary ref); note: verify via CEI/AU primary source</t>
  </si>
  <si>
    <t>4</t>
  </si>
  <si>
    <t>89.77%</t>
  </si>
  <si>
    <t>Fourth term; key rivals (Gbagbo, Thiam) barred from contesting; turnout ~50%.</t>
  </si>
  <si>
    <t>Xinhua; AllAfrica; Yahoo/The News</t>
  </si>
  <si>
    <t>Ghana</t>
  </si>
  <si>
    <t>John Mahama</t>
  </si>
  <si>
    <t>44.4% vs Akufo-Addo 53.85%</t>
  </si>
  <si>
    <t>First incumbent defeated since Ghana's return to multiparty democracy in 1992.</t>
  </si>
  <si>
    <t>Pulse Ghana</t>
  </si>
  <si>
    <t>Nana Akufo-Addo</t>
  </si>
  <si>
    <t>n/a — not verified in this pass</t>
  </si>
  <si>
    <t>Re-elected; contested by Mahama in rematch.</t>
  </si>
  <si>
    <t>n/a — not verified, cite Ghana EC for exact figures</t>
  </si>
  <si>
    <t>No (term-limited, ineligible)</t>
  </si>
  <si>
    <t>Mahama (returning as challenger) won the open-seat election.</t>
  </si>
  <si>
    <t>Wikipedia (2024 Ghanaian general election)</t>
  </si>
  <si>
    <t>Kenya</t>
  </si>
  <si>
    <t>Daniel arap Moi</t>
  </si>
  <si>
    <t>Yes (incumbent since 1978)</t>
  </si>
  <si>
    <t>36% (first multiparty election)</t>
  </si>
  <si>
    <t>First multiparty election; won on split opposition; accusations of rigging.</t>
  </si>
  <si>
    <t>Springer Nature; New World Encyclopedia</t>
  </si>
  <si>
    <t>40.4% vs Kibaki 30.9%</t>
  </si>
  <si>
    <t>Marred by allegations of fraud; opposition again split.</t>
  </si>
  <si>
    <t>Wikipedia (1997 Kenyan general election)</t>
  </si>
  <si>
    <t>Mwai Kibaki</t>
  </si>
  <si>
    <t>62% (n/a exact — landslide)</t>
  </si>
  <si>
    <t>First peaceful transfer of power in Kenya's history; ended KANU's 39-year rule.</t>
  </si>
  <si>
    <t>AllAfrica</t>
  </si>
  <si>
    <t>n/a — disputed count</t>
  </si>
  <si>
    <t>Disputed result triggered ethnic violence (~1,200 killed, 600k displaced); resolved via power-sharing government with Odinga as PM.</t>
  </si>
  <si>
    <t>Al Jazeera; Wikipedia</t>
  </si>
  <si>
    <t>Uhuru Kenyatta</t>
  </si>
  <si>
    <t>Al Jazeera</t>
  </si>
  <si>
    <t>54.27% (Aug vote, annulled); 98% (Oct rerun)</t>
  </si>
  <si>
    <t>Supreme Court annulled original August result (first such annulment in Africa); Kenyatta won the October rerun after Odinga boycotted.</t>
  </si>
  <si>
    <t>Al Jazeera; Sputnik/Global Security</t>
  </si>
  <si>
    <t>William Ruto</t>
  </si>
  <si>
    <t>No (Deputy President, not incumbent president)</t>
  </si>
  <si>
    <t>50.49% vs Odinga 48.85%</t>
  </si>
  <si>
    <t>Kenyatta was term-limited after 2 terms; Ruto ran as DP, not as incumbent president.</t>
  </si>
  <si>
    <t>NPR; Gulf News</t>
  </si>
  <si>
    <t>Uganda</t>
  </si>
  <si>
    <t>Yoweri Museveni</t>
  </si>
  <si>
    <t>Yes (in power since 1986)</t>
  </si>
  <si>
    <t>74%</t>
  </si>
  <si>
    <t>First direct presidential election under 1995 constitution; no-party 'Movement System'.</t>
  </si>
  <si>
    <t>Wikipedia (1996 Ugandan presidential election)</t>
  </si>
  <si>
    <t>69%</t>
  </si>
  <si>
    <t>EISA/AU journal</t>
  </si>
  <si>
    <t>59% vs Besigye 37%</t>
  </si>
  <si>
    <t>First multiparty election since 1980 after term-limit removal (2005 constitutional amendment).</t>
  </si>
  <si>
    <t>EISA/AU journal; Britannica</t>
  </si>
  <si>
    <t>Besigye's third consecutive loss to Museveni.</t>
  </si>
  <si>
    <t>Wikipedia (2011 Ugandan general election)</t>
  </si>
  <si>
    <t>Wikipedia (2016 Ugandan general election)</t>
  </si>
  <si>
    <t>Opponent Bobi Wine (musician-turned-politician) alleged fraud; violent crackdown on protests.</t>
  </si>
  <si>
    <t>Wikipedia (2021 Ugandan general election)</t>
  </si>
  <si>
    <t>Zimbabwe</t>
  </si>
  <si>
    <t>Robert Mugabe</t>
  </si>
  <si>
    <t>Yes (in power since 1980/1987)</t>
  </si>
  <si>
    <t>61% vs Tsvangirai 33%</t>
  </si>
  <si>
    <t>Pressreader/Times Colonist</t>
  </si>
  <si>
    <t>Emmerson Mnangagwa</t>
  </si>
  <si>
    <t>No (took power via 2017 coup, first election)</t>
  </si>
  <si>
    <t>50.8% vs Chamisa 44.3%</t>
  </si>
  <si>
    <t>First election after Mugabe's ouster; deadly post-election violence (6 killed).</t>
  </si>
  <si>
    <t>52.6% (or 52%, sources vary slightly) vs Chamisa 44%</t>
  </si>
  <si>
    <t>Opposition rejected results as rigged; EU observers said vote fell short of standards.</t>
  </si>
  <si>
    <t>VOA; Al Jazeera</t>
  </si>
  <si>
    <t>Egypt</t>
  </si>
  <si>
    <t>Abdel Fattah el-Sisi</t>
  </si>
  <si>
    <t>Yes (first elected 2014)</t>
  </si>
  <si>
    <t>97% vs Moussa ~3%</t>
  </si>
  <si>
    <t>Sole challenger was a Sisi supporter; serious rivals withdrew or were arrested/detained.</t>
  </si>
  <si>
    <t>BBC; Fox News/AP</t>
  </si>
  <si>
    <t>89.6% vs Omar 4.5%</t>
  </si>
  <si>
    <t>Third term; opposition candidate Al-Tantawy withdrew citing suppression.</t>
  </si>
  <si>
    <t>CBS; CNN; PBS</t>
  </si>
  <si>
    <t>Cameroon</t>
  </si>
  <si>
    <t>Paul Biya</t>
  </si>
  <si>
    <t>Yes (in power since 1982)</t>
  </si>
  <si>
    <t>7th term</t>
  </si>
  <si>
    <t>71.3% vs Kamto 14.2%</t>
  </si>
  <si>
    <t>Low turnout in Anglophone regions amid separatist conflict.</t>
  </si>
  <si>
    <t>8th term</t>
  </si>
  <si>
    <t>53.7% vs Tchiroma 35.2%</t>
  </si>
  <si>
    <t>Biya, 92, is world's oldest head of state; has 'never lost an election' since 1982; deadly post-election unrest.</t>
  </si>
  <si>
    <t>France24; Al Jazeera</t>
  </si>
  <si>
    <t>Rwanda</t>
  </si>
  <si>
    <t>Paul Kagame</t>
  </si>
  <si>
    <t>Yes (in power since 2000, de facto since 1994)</t>
  </si>
  <si>
    <t>95.05%</t>
  </si>
  <si>
    <t>Czech Centre for Human Rights and Democracy</t>
  </si>
  <si>
    <t>93%</t>
  </si>
  <si>
    <t>Wikipedia (2010 Rwandan presidential election)</t>
  </si>
  <si>
    <t>3rd (7-yr) term</t>
  </si>
  <si>
    <t>98.79%</t>
  </si>
  <si>
    <t>Constitutional change (2015 referendum) enabled 3rd term.</t>
  </si>
  <si>
    <t>Wikipedia; BBC; VOA</t>
  </si>
  <si>
    <t>4th term</t>
  </si>
  <si>
    <t>99.18%</t>
  </si>
  <si>
    <t>Highest-ever margin; leading opposition figures barred from running.</t>
  </si>
  <si>
    <t>France24; Al Jazeera; NBC</t>
  </si>
  <si>
    <t>United States</t>
  </si>
  <si>
    <t>John Adams</t>
  </si>
  <si>
    <t>n/a — historical, not detailed here</t>
  </si>
  <si>
    <t>1st incumbent US president to lose re-election; set precedent for peaceful transfer of power.</t>
  </si>
  <si>
    <t>Yahoo/AP; Constitution.us</t>
  </si>
  <si>
    <t>John Quincy Adams</t>
  </si>
  <si>
    <t>Lost to Andrew Jackson.</t>
  </si>
  <si>
    <t>Yahoo/AP</t>
  </si>
  <si>
    <t>Martin Van Buren</t>
  </si>
  <si>
    <t>Lost to William Henry Harrison amid economic depression.</t>
  </si>
  <si>
    <t>Grover Cleveland</t>
  </si>
  <si>
    <t>Won popular vote, lost Electoral College to Benjamin Harrison; later won non-consecutive 2nd term in 1892.</t>
  </si>
  <si>
    <t>NBC News</t>
  </si>
  <si>
    <t>Benjamin Harrison</t>
  </si>
  <si>
    <t>Lost rematch to Cleveland.</t>
  </si>
  <si>
    <t>William Howard Taft</t>
  </si>
  <si>
    <t>Lost to Woodrow Wilson in 3-way race with Theodore Roosevelt splitting GOP vote.</t>
  </si>
  <si>
    <t>Herbert Hoover</t>
  </si>
  <si>
    <t>Lost to FDR amid Great Depression.</t>
  </si>
  <si>
    <t>Gerald Ford</t>
  </si>
  <si>
    <t>Yes (ascended via Nixon resignation)</t>
  </si>
  <si>
    <t>Lost to Jimmy Carter; unpopular Nixon pardon a key factor.</t>
  </si>
  <si>
    <t>Jimmy Carter</t>
  </si>
  <si>
    <t>Lost to Ronald Reagan amid inflation, unemployment, Iran hostage crisis.</t>
  </si>
  <si>
    <t>Constitution.us; Yahoo/AP</t>
  </si>
  <si>
    <t>George H.W. Bush</t>
  </si>
  <si>
    <t>Lost to Bill Clinton amid recession and broken 'no new taxes' pledge.</t>
  </si>
  <si>
    <t>Constitution.us; Deccan Herald</t>
  </si>
  <si>
    <t>Bill Clinton</t>
  </si>
  <si>
    <t>49.2% vs Dole 40.7% (widely documented result)</t>
  </si>
  <si>
    <t>n/a — well-established historical record, not re-verified this pass</t>
  </si>
  <si>
    <t>George W. Bush</t>
  </si>
  <si>
    <t>50.7% vs Kerry 48.3% (widely documented result)</t>
  </si>
  <si>
    <t>Barack Obama</t>
  </si>
  <si>
    <t>51.1% vs Romney 47.2% (widely documented result)</t>
  </si>
  <si>
    <t>Donald Trump</t>
  </si>
  <si>
    <t>46.9% vs Biden 51.3%</t>
  </si>
  <si>
    <t>11th sitting US president to lose re-election bid (10 outright + Ford via succession).</t>
  </si>
  <si>
    <t>Deccan Herald; Yahoo/AP</t>
  </si>
  <si>
    <t>Joe Biden</t>
  </si>
  <si>
    <t>Withdrew before general election</t>
  </si>
  <si>
    <t>Withdrew from race in July 2024 after primary; Harris became nominee and lost to Trump.</t>
  </si>
  <si>
    <t>n/a — well-established, not re-verified this pass</t>
  </si>
  <si>
    <t>Russia</t>
  </si>
  <si>
    <t>Boris Yeltsin</t>
  </si>
  <si>
    <t>54% (2nd round) vs Zyuganov</t>
  </si>
  <si>
    <t>Only Russian presidential election to require a runoff since 1991.</t>
  </si>
  <si>
    <t>Statista</t>
  </si>
  <si>
    <t>Vladimir Putin</t>
  </si>
  <si>
    <t>Wikipedia (Putin 2024 campaign page, historical summary)</t>
  </si>
  <si>
    <t>Yes (after PM interlude 2008–2012)</t>
  </si>
  <si>
    <t>3rd (non-consecutive)</t>
  </si>
  <si>
    <t>Circumvented 2-term-consecutive limit by serving as PM 2008–2012 with Medvedev as placeholder president.</t>
  </si>
  <si>
    <t>Al Jazeera; CNN</t>
  </si>
  <si>
    <t>4th</t>
  </si>
  <si>
    <t>76%+ (exact % not verified this pass)</t>
  </si>
  <si>
    <t>Statista; Al Jazeera</t>
  </si>
  <si>
    <t>5th</t>
  </si>
  <si>
    <t>87.28%–87.29%</t>
  </si>
  <si>
    <t>Highest-ever post-Soviet vote share; major opponents dead, imprisoned, or exiled; called illegitimate by Western observers.</t>
  </si>
  <si>
    <t>Moscow Times; Statista; Al Jazeera</t>
  </si>
  <si>
    <t>Venezuela</t>
  </si>
  <si>
    <t>Hugo Chávez</t>
  </si>
  <si>
    <t>3rd</t>
  </si>
  <si>
    <t>54% vs Capriles 45%</t>
  </si>
  <si>
    <t>RFE/RL (Global Security)</t>
  </si>
  <si>
    <t>Nicolás Maduro</t>
  </si>
  <si>
    <t>68% vs Falcon</t>
  </si>
  <si>
    <t>Widely regarded as flawed; major opposition parties boycotted.</t>
  </si>
  <si>
    <t>China Daily/Pressreader</t>
  </si>
  <si>
    <t>51.2% vs González 44.2% (official); opposition tallies claimed González won ~70%</t>
  </si>
  <si>
    <t>Most contested Venezuelan election in decades; US and several Latin American governments refused to recognize the result.</t>
  </si>
  <si>
    <t>CNN; Al Jazeera; CNBC</t>
  </si>
  <si>
    <t>Re-election Wins</t>
  </si>
  <si>
    <t>Won Year</t>
  </si>
  <si>
    <t>Lost Year</t>
  </si>
  <si>
    <t>Country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</si>
</sst>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color rgb="FFFFFFF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Border="1" applyFont="1"/>
    <xf borderId="1" fillId="0" fontId="5" numFmtId="0" xfId="0" applyBorder="1" applyFont="1"/>
    <xf borderId="0" fillId="0" fontId="1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shrinkToFit="0" wrapText="1"/>
    </xf>
    <xf borderId="1" fillId="3" fontId="3" numFmtId="0" xfId="0" applyAlignment="1" applyBorder="1" applyFill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0" fillId="5" fontId="7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2" fontId="7" numFmtId="0" xfId="0" applyAlignment="1" applyFon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Incumbent Win/Loss Rate by Region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'Incumbent Presidents (Worldwide'!$M$2:$M$3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'Incumbent Presidents (Worldwide'!$L$4:$L$13</c:f>
            </c:strRef>
          </c:cat>
          <c:val>
            <c:numRef>
              <c:f>'Incumbent Presidents (Worldwide'!$M$4:$M$13</c:f>
              <c:numCache/>
            </c:numRef>
          </c:val>
        </c:ser>
        <c:ser>
          <c:idx val="1"/>
          <c:order val="1"/>
          <c:tx>
            <c:strRef>
              <c:f>'Incumbent Presidents (Worldwide'!$N$2:$N$3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'Incumbent Presidents (Worldwide'!$L$4:$L$13</c:f>
            </c:strRef>
          </c:cat>
          <c:val>
            <c:numRef>
              <c:f>'Incumbent Presidents (Worldwide'!$N$4:$N$13</c:f>
              <c:numCache/>
            </c:numRef>
          </c:val>
        </c:ser>
        <c:ser>
          <c:idx val="2"/>
          <c:order val="2"/>
          <c:tx>
            <c:strRef>
              <c:f>'Incumbent Presidents (Worldwide'!$O$2:$O$3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'Incumbent Presidents (Worldwide'!$L$4:$L$13</c:f>
            </c:strRef>
          </c:cat>
          <c:val>
            <c:numRef>
              <c:f>'Incumbent Presidents (Worldwide'!$O$4:$O$13</c:f>
              <c:numCache/>
            </c:numRef>
          </c:val>
        </c:ser>
        <c:ser>
          <c:idx val="3"/>
          <c:order val="3"/>
          <c:tx>
            <c:strRef>
              <c:f>'Incumbent Presidents (Worldwide'!$P$2:$P$3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'Incumbent Presidents (Worldwide'!$L$4:$L$13</c:f>
            </c:strRef>
          </c:cat>
          <c:val>
            <c:numRef>
              <c:f>'Incumbent Presidents (Worldwide'!$P$4:$P$13</c:f>
              <c:numCache/>
            </c:numRef>
          </c:val>
        </c:ser>
        <c:ser>
          <c:idx val="4"/>
          <c:order val="4"/>
          <c:tx>
            <c:strRef>
              <c:f>'Incumbent Presidents (Worldwide'!$Q$2:$Q$3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'Incumbent Presidents (Worldwide'!$L$4:$L$13</c:f>
            </c:strRef>
          </c:cat>
          <c:val>
            <c:numRef>
              <c:f>'Incumbent Presidents (Worldwide'!$Q$4:$Q$13</c:f>
              <c:numCache/>
            </c:numRef>
          </c:val>
        </c:ser>
        <c:ser>
          <c:idx val="5"/>
          <c:order val="5"/>
          <c:tx>
            <c:strRef>
              <c:f>'Incumbent Presidents (Worldwide'!$R$2:$R$3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'Incumbent Presidents (Worldwide'!$L$4:$L$13</c:f>
            </c:strRef>
          </c:cat>
          <c:val>
            <c:numRef>
              <c:f>'Incumbent Presidents (Worldwide'!$R$4:$R$13</c:f>
              <c:numCache/>
            </c:numRef>
          </c:val>
        </c:ser>
        <c:ser>
          <c:idx val="6"/>
          <c:order val="6"/>
          <c:tx>
            <c:strRef>
              <c:f>'Incumbent Presidents (Worldwide'!$S$2:$S$3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'Incumbent Presidents (Worldwide'!$L$4:$L$13</c:f>
            </c:strRef>
          </c:cat>
          <c:val>
            <c:numRef>
              <c:f>'Incumbent Presidents (Worldwide'!$S$4:$S$13</c:f>
              <c:numCache/>
            </c:numRef>
          </c:val>
        </c:ser>
        <c:ser>
          <c:idx val="7"/>
          <c:order val="7"/>
          <c:tx>
            <c:strRef>
              <c:f>'Incumbent Presidents (Worldwide'!$T$2:$T$3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'Incumbent Presidents (Worldwide'!$L$4:$L$13</c:f>
            </c:strRef>
          </c:cat>
          <c:val>
            <c:numRef>
              <c:f>'Incumbent Presidents (Worldwide'!$T$4:$T$13</c:f>
              <c:numCache/>
            </c:numRef>
          </c:val>
        </c:ser>
        <c:ser>
          <c:idx val="8"/>
          <c:order val="8"/>
          <c:tx>
            <c:strRef>
              <c:f>'Incumbent Presidents (Worldwide'!$U$2:$U$3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'Incumbent Presidents (Worldwide'!$L$4:$L$13</c:f>
            </c:strRef>
          </c:cat>
          <c:val>
            <c:numRef>
              <c:f>'Incumbent Presidents (Worldwide'!$U$4:$U$13</c:f>
              <c:numCache/>
            </c:numRef>
          </c:val>
        </c:ser>
        <c:overlap val="100"/>
        <c:axId val="1954486034"/>
        <c:axId val="2117509480"/>
      </c:barChart>
      <c:catAx>
        <c:axId val="1954486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7509480"/>
      </c:catAx>
      <c:valAx>
        <c:axId val="2117509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448603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Consecutive Re-election Wins by Incumbent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'Incumbent Presidents (Worldwide'!$B$68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'Incumbent Presidents (Worldwide'!$A$69:$A$105</c:f>
            </c:strRef>
          </c:cat>
          <c:val>
            <c:numRef>
              <c:f>'Incumbent Presidents (Worldwide'!$B$69:$B$105</c:f>
              <c:numCache/>
            </c:numRef>
          </c:val>
        </c:ser>
        <c:axId val="375110604"/>
        <c:axId val="2011466694"/>
      </c:barChart>
      <c:catAx>
        <c:axId val="3751106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Re-election Wins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1466694"/>
      </c:catAx>
      <c:valAx>
        <c:axId val="20114666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1106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581025</xdr:colOff>
      <xdr:row>13</xdr:row>
      <xdr:rowOff>419100</xdr:rowOff>
    </xdr:from>
    <xdr:ext cx="58102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1323975</xdr:colOff>
      <xdr:row>66</xdr:row>
      <xdr:rowOff>180975</xdr:rowOff>
    </xdr:from>
    <xdr:ext cx="75247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20.0"/>
    <col customWidth="1" min="4" max="4" width="10.0"/>
    <col customWidth="1" min="5" max="5" width="16.0"/>
    <col customWidth="1" min="6" max="6" width="12.0"/>
    <col customWidth="1" min="7" max="7" width="10.0"/>
    <col customWidth="1" min="8" max="8" width="20.0"/>
    <col customWidth="1" min="9" max="9" width="45.0"/>
    <col customWidth="1" min="10" max="10" width="40.0"/>
    <col customWidth="1" min="11" max="26" width="8.71"/>
  </cols>
  <sheetData>
    <row r="1">
      <c r="A1" s="8" t="s">
        <v>147</v>
      </c>
    </row>
    <row r="2">
      <c r="A2" s="3" t="s">
        <v>148</v>
      </c>
      <c r="B2" s="3" t="s">
        <v>149</v>
      </c>
      <c r="C2" s="3" t="s">
        <v>150</v>
      </c>
      <c r="D2" s="3" t="s">
        <v>151</v>
      </c>
      <c r="E2" s="3" t="s">
        <v>152</v>
      </c>
      <c r="F2" s="3" t="s">
        <v>153</v>
      </c>
      <c r="G2" s="3" t="s">
        <v>154</v>
      </c>
      <c r="H2" s="3" t="s">
        <v>155</v>
      </c>
      <c r="I2" s="3" t="s">
        <v>90</v>
      </c>
      <c r="J2" s="3" t="s">
        <v>121</v>
      </c>
      <c r="L2" s="9" t="s">
        <v>156</v>
      </c>
      <c r="M2" s="9"/>
      <c r="N2" s="9"/>
      <c r="O2" s="9"/>
      <c r="P2" s="9"/>
      <c r="Q2" s="9"/>
      <c r="R2" s="9"/>
      <c r="S2" s="9"/>
      <c r="T2" s="9"/>
      <c r="U2" s="9"/>
    </row>
    <row r="3">
      <c r="A3" s="4" t="s">
        <v>157</v>
      </c>
      <c r="B3" s="4" t="s">
        <v>158</v>
      </c>
      <c r="C3" s="4" t="s">
        <v>159</v>
      </c>
      <c r="D3" s="4">
        <v>1979.0</v>
      </c>
      <c r="E3" s="4" t="s">
        <v>160</v>
      </c>
      <c r="F3" s="4" t="s">
        <v>161</v>
      </c>
      <c r="G3" s="4" t="s">
        <v>162</v>
      </c>
      <c r="H3" s="4" t="s">
        <v>163</v>
      </c>
      <c r="I3" s="4" t="s">
        <v>164</v>
      </c>
      <c r="J3" s="4" t="s">
        <v>165</v>
      </c>
      <c r="L3" s="9"/>
      <c r="M3" s="10" t="s">
        <v>166</v>
      </c>
      <c r="N3" s="9" t="s">
        <v>18</v>
      </c>
      <c r="O3" s="10" t="s">
        <v>167</v>
      </c>
      <c r="P3" s="10" t="s">
        <v>153</v>
      </c>
      <c r="Q3" s="9" t="s">
        <v>168</v>
      </c>
      <c r="R3" s="10" t="s">
        <v>169</v>
      </c>
      <c r="S3" s="10" t="s">
        <v>170</v>
      </c>
      <c r="T3" s="10" t="s">
        <v>161</v>
      </c>
      <c r="U3" s="10" t="s">
        <v>171</v>
      </c>
    </row>
    <row r="4">
      <c r="A4" s="4" t="s">
        <v>157</v>
      </c>
      <c r="B4" s="4" t="s">
        <v>158</v>
      </c>
      <c r="C4" s="4" t="s">
        <v>159</v>
      </c>
      <c r="D4" s="4">
        <v>1983.0</v>
      </c>
      <c r="E4" s="4" t="s">
        <v>172</v>
      </c>
      <c r="F4" s="11" t="s">
        <v>168</v>
      </c>
      <c r="G4" s="4" t="s">
        <v>173</v>
      </c>
      <c r="H4" s="4" t="s">
        <v>174</v>
      </c>
      <c r="I4" s="4" t="s">
        <v>175</v>
      </c>
      <c r="J4" s="4" t="s">
        <v>176</v>
      </c>
      <c r="L4" s="9" t="s">
        <v>177</v>
      </c>
      <c r="M4" s="9"/>
      <c r="N4" s="9"/>
      <c r="O4" s="9"/>
      <c r="P4" s="9"/>
      <c r="Q4" s="9">
        <v>2.0</v>
      </c>
      <c r="R4" s="9"/>
      <c r="S4" s="9"/>
      <c r="T4" s="9"/>
      <c r="U4" s="9">
        <v>2.0</v>
      </c>
    </row>
    <row r="5">
      <c r="A5" s="4" t="s">
        <v>157</v>
      </c>
      <c r="B5" s="4" t="s">
        <v>158</v>
      </c>
      <c r="C5" s="4" t="s">
        <v>178</v>
      </c>
      <c r="D5" s="4">
        <v>1999.0</v>
      </c>
      <c r="E5" s="4" t="s">
        <v>179</v>
      </c>
      <c r="F5" s="4" t="s">
        <v>161</v>
      </c>
      <c r="G5" s="4" t="s">
        <v>162</v>
      </c>
      <c r="H5" s="4" t="s">
        <v>180</v>
      </c>
      <c r="I5" s="4" t="s">
        <v>181</v>
      </c>
      <c r="J5" s="4" t="s">
        <v>182</v>
      </c>
      <c r="L5" s="9" t="s">
        <v>183</v>
      </c>
      <c r="M5" s="9"/>
      <c r="N5" s="9"/>
      <c r="O5" s="9"/>
      <c r="P5" s="9"/>
      <c r="Q5" s="9">
        <v>12.0</v>
      </c>
      <c r="R5" s="9">
        <v>1.0</v>
      </c>
      <c r="S5" s="9">
        <v>1.0</v>
      </c>
      <c r="T5" s="9">
        <v>3.0</v>
      </c>
      <c r="U5" s="9">
        <v>17.0</v>
      </c>
    </row>
    <row r="6">
      <c r="A6" s="4" t="s">
        <v>157</v>
      </c>
      <c r="B6" s="4" t="s">
        <v>158</v>
      </c>
      <c r="C6" s="4" t="s">
        <v>178</v>
      </c>
      <c r="D6" s="4">
        <v>2003.0</v>
      </c>
      <c r="E6" s="4" t="s">
        <v>172</v>
      </c>
      <c r="F6" s="11" t="s">
        <v>168</v>
      </c>
      <c r="G6" s="4" t="s">
        <v>173</v>
      </c>
      <c r="H6" s="4" t="s">
        <v>184</v>
      </c>
      <c r="I6" s="4" t="s">
        <v>185</v>
      </c>
      <c r="J6" s="4" t="s">
        <v>186</v>
      </c>
      <c r="L6" s="9" t="s">
        <v>187</v>
      </c>
      <c r="M6" s="9"/>
      <c r="N6" s="9"/>
      <c r="O6" s="9"/>
      <c r="P6" s="9"/>
      <c r="Q6" s="9">
        <v>5.0</v>
      </c>
      <c r="R6" s="9"/>
      <c r="S6" s="9"/>
      <c r="T6" s="9"/>
      <c r="U6" s="9">
        <v>5.0</v>
      </c>
    </row>
    <row r="7">
      <c r="A7" s="4" t="s">
        <v>157</v>
      </c>
      <c r="B7" s="4" t="s">
        <v>158</v>
      </c>
      <c r="C7" s="4" t="s">
        <v>188</v>
      </c>
      <c r="D7" s="4">
        <v>2007.0</v>
      </c>
      <c r="E7" s="4" t="s">
        <v>189</v>
      </c>
      <c r="F7" s="4" t="s">
        <v>161</v>
      </c>
      <c r="G7" s="4" t="s">
        <v>162</v>
      </c>
      <c r="H7" s="4" t="s">
        <v>190</v>
      </c>
      <c r="I7" s="4" t="s">
        <v>191</v>
      </c>
      <c r="J7" s="4" t="s">
        <v>192</v>
      </c>
      <c r="L7" s="9" t="s">
        <v>193</v>
      </c>
      <c r="M7" s="9"/>
      <c r="N7" s="9"/>
      <c r="O7" s="9"/>
      <c r="P7" s="9"/>
      <c r="Q7" s="9">
        <v>2.0</v>
      </c>
      <c r="R7" s="9"/>
      <c r="S7" s="9"/>
      <c r="T7" s="9"/>
      <c r="U7" s="9">
        <v>2.0</v>
      </c>
    </row>
    <row r="8">
      <c r="A8" s="4" t="s">
        <v>157</v>
      </c>
      <c r="B8" s="4" t="s">
        <v>158</v>
      </c>
      <c r="C8" s="4" t="s">
        <v>194</v>
      </c>
      <c r="D8" s="4">
        <v>2011.0</v>
      </c>
      <c r="E8" s="4" t="s">
        <v>195</v>
      </c>
      <c r="F8" s="11" t="s">
        <v>168</v>
      </c>
      <c r="G8" s="4" t="s">
        <v>196</v>
      </c>
      <c r="H8" s="4" t="s">
        <v>197</v>
      </c>
      <c r="I8" s="4" t="s">
        <v>198</v>
      </c>
      <c r="J8" s="4" t="s">
        <v>199</v>
      </c>
      <c r="L8" s="9" t="s">
        <v>200</v>
      </c>
      <c r="M8" s="9">
        <v>1.0</v>
      </c>
      <c r="N8" s="9">
        <v>11.0</v>
      </c>
      <c r="O8" s="9"/>
      <c r="P8" s="9"/>
      <c r="Q8" s="9">
        <v>3.0</v>
      </c>
      <c r="R8" s="9"/>
      <c r="S8" s="9"/>
      <c r="T8" s="9"/>
      <c r="U8" s="9">
        <v>15.0</v>
      </c>
    </row>
    <row r="9">
      <c r="A9" s="4" t="s">
        <v>157</v>
      </c>
      <c r="B9" s="4" t="s">
        <v>158</v>
      </c>
      <c r="C9" s="4" t="s">
        <v>194</v>
      </c>
      <c r="D9" s="4">
        <v>2015.0</v>
      </c>
      <c r="E9" s="4" t="s">
        <v>172</v>
      </c>
      <c r="F9" s="12" t="s">
        <v>18</v>
      </c>
      <c r="G9" s="4" t="s">
        <v>201</v>
      </c>
      <c r="H9" s="4" t="s">
        <v>202</v>
      </c>
      <c r="I9" s="4" t="s">
        <v>203</v>
      </c>
      <c r="J9" s="4" t="s">
        <v>204</v>
      </c>
      <c r="L9" s="9" t="s">
        <v>149</v>
      </c>
      <c r="M9" s="9"/>
      <c r="N9" s="9"/>
      <c r="O9" s="9"/>
      <c r="P9" s="9">
        <v>1.0</v>
      </c>
      <c r="Q9" s="9"/>
      <c r="R9" s="9"/>
      <c r="S9" s="9"/>
      <c r="T9" s="9"/>
      <c r="U9" s="9">
        <v>1.0</v>
      </c>
    </row>
    <row r="10">
      <c r="A10" s="4" t="s">
        <v>157</v>
      </c>
      <c r="B10" s="4" t="s">
        <v>158</v>
      </c>
      <c r="C10" s="4" t="s">
        <v>8</v>
      </c>
      <c r="D10" s="4">
        <v>2015.0</v>
      </c>
      <c r="E10" s="4" t="s">
        <v>205</v>
      </c>
      <c r="F10" s="4" t="s">
        <v>161</v>
      </c>
      <c r="G10" s="4" t="s">
        <v>162</v>
      </c>
      <c r="H10" s="4" t="s">
        <v>206</v>
      </c>
      <c r="I10" s="4" t="s">
        <v>207</v>
      </c>
      <c r="J10" s="4" t="s">
        <v>208</v>
      </c>
      <c r="L10" s="9" t="s">
        <v>209</v>
      </c>
      <c r="M10" s="9"/>
      <c r="N10" s="9"/>
      <c r="O10" s="9"/>
      <c r="P10" s="9"/>
      <c r="Q10" s="9">
        <v>2.0</v>
      </c>
      <c r="R10" s="9"/>
      <c r="S10" s="9">
        <v>1.0</v>
      </c>
      <c r="T10" s="9"/>
      <c r="U10" s="9">
        <v>3.0</v>
      </c>
    </row>
    <row r="11">
      <c r="A11" s="4" t="s">
        <v>157</v>
      </c>
      <c r="B11" s="4" t="s">
        <v>158</v>
      </c>
      <c r="C11" s="4" t="s">
        <v>8</v>
      </c>
      <c r="D11" s="4">
        <v>2019.0</v>
      </c>
      <c r="E11" s="4" t="s">
        <v>172</v>
      </c>
      <c r="F11" s="11" t="s">
        <v>168</v>
      </c>
      <c r="G11" s="4" t="s">
        <v>173</v>
      </c>
      <c r="H11" s="4" t="s">
        <v>210</v>
      </c>
      <c r="I11" s="4" t="s">
        <v>211</v>
      </c>
      <c r="J11" s="4" t="s">
        <v>212</v>
      </c>
      <c r="L11" s="9" t="s">
        <v>213</v>
      </c>
      <c r="M11" s="9"/>
      <c r="N11" s="9"/>
      <c r="O11" s="9"/>
      <c r="P11" s="9"/>
      <c r="Q11" s="9">
        <v>2.0</v>
      </c>
      <c r="R11" s="9"/>
      <c r="S11" s="9"/>
      <c r="T11" s="9">
        <v>1.0</v>
      </c>
      <c r="U11" s="9">
        <v>3.0</v>
      </c>
    </row>
    <row r="12">
      <c r="A12" s="4" t="s">
        <v>157</v>
      </c>
      <c r="B12" s="4" t="s">
        <v>158</v>
      </c>
      <c r="C12" s="4" t="s">
        <v>214</v>
      </c>
      <c r="D12" s="4">
        <v>2023.0</v>
      </c>
      <c r="E12" s="4" t="s">
        <v>189</v>
      </c>
      <c r="F12" s="4" t="s">
        <v>161</v>
      </c>
      <c r="G12" s="4" t="s">
        <v>162</v>
      </c>
      <c r="H12" s="4" t="s">
        <v>215</v>
      </c>
      <c r="I12" s="4" t="s">
        <v>216</v>
      </c>
      <c r="J12" s="4" t="s">
        <v>217</v>
      </c>
      <c r="L12" s="9" t="s">
        <v>158</v>
      </c>
      <c r="M12" s="9"/>
      <c r="N12" s="9">
        <v>2.0</v>
      </c>
      <c r="O12" s="9">
        <v>1.0</v>
      </c>
      <c r="P12" s="9"/>
      <c r="Q12" s="9">
        <v>8.0</v>
      </c>
      <c r="R12" s="9"/>
      <c r="S12" s="9"/>
      <c r="T12" s="9">
        <v>5.0</v>
      </c>
      <c r="U12" s="9">
        <v>16.0</v>
      </c>
    </row>
    <row r="13">
      <c r="A13" s="4" t="s">
        <v>218</v>
      </c>
      <c r="B13" s="4" t="s">
        <v>158</v>
      </c>
      <c r="C13" s="4" t="s">
        <v>219</v>
      </c>
      <c r="D13" s="4">
        <v>2015.0</v>
      </c>
      <c r="E13" s="4" t="s">
        <v>172</v>
      </c>
      <c r="F13" s="11" t="s">
        <v>168</v>
      </c>
      <c r="G13" s="4" t="s">
        <v>173</v>
      </c>
      <c r="H13" s="4" t="s">
        <v>220</v>
      </c>
      <c r="I13" s="4" t="s">
        <v>221</v>
      </c>
      <c r="J13" s="4" t="s">
        <v>222</v>
      </c>
      <c r="L13" s="10" t="s">
        <v>171</v>
      </c>
      <c r="M13" s="9">
        <v>1.0</v>
      </c>
      <c r="N13" s="9">
        <v>13.0</v>
      </c>
      <c r="O13" s="9">
        <v>1.0</v>
      </c>
      <c r="P13" s="9">
        <v>1.0</v>
      </c>
      <c r="Q13" s="9">
        <v>36.0</v>
      </c>
      <c r="R13" s="9">
        <v>1.0</v>
      </c>
      <c r="S13" s="9">
        <v>2.0</v>
      </c>
      <c r="T13" s="9">
        <v>9.0</v>
      </c>
      <c r="U13" s="9">
        <v>64.0</v>
      </c>
    </row>
    <row r="14">
      <c r="A14" s="4" t="s">
        <v>218</v>
      </c>
      <c r="B14" s="4" t="s">
        <v>158</v>
      </c>
      <c r="C14" s="4" t="s">
        <v>219</v>
      </c>
      <c r="D14" s="4">
        <v>2020.0</v>
      </c>
      <c r="E14" s="4" t="s">
        <v>172</v>
      </c>
      <c r="F14" s="11" t="s">
        <v>168</v>
      </c>
      <c r="G14" s="4" t="s">
        <v>223</v>
      </c>
      <c r="H14" s="4" t="s">
        <v>224</v>
      </c>
      <c r="I14" s="4" t="s">
        <v>225</v>
      </c>
      <c r="J14" s="4" t="s">
        <v>226</v>
      </c>
    </row>
    <row r="15">
      <c r="A15" s="4" t="s">
        <v>218</v>
      </c>
      <c r="B15" s="4" t="s">
        <v>158</v>
      </c>
      <c r="C15" s="4" t="s">
        <v>219</v>
      </c>
      <c r="D15" s="4">
        <v>2025.0</v>
      </c>
      <c r="E15" s="4" t="s">
        <v>172</v>
      </c>
      <c r="F15" s="11" t="s">
        <v>168</v>
      </c>
      <c r="G15" s="4" t="s">
        <v>227</v>
      </c>
      <c r="H15" s="4" t="s">
        <v>228</v>
      </c>
      <c r="I15" s="4" t="s">
        <v>229</v>
      </c>
      <c r="J15" s="4" t="s">
        <v>230</v>
      </c>
    </row>
    <row r="16">
      <c r="A16" s="4" t="s">
        <v>231</v>
      </c>
      <c r="B16" s="4" t="s">
        <v>158</v>
      </c>
      <c r="C16" s="4" t="s">
        <v>232</v>
      </c>
      <c r="D16" s="4">
        <v>2016.0</v>
      </c>
      <c r="E16" s="4" t="s">
        <v>172</v>
      </c>
      <c r="F16" s="12" t="s">
        <v>18</v>
      </c>
      <c r="G16" s="4" t="s">
        <v>201</v>
      </c>
      <c r="H16" s="4" t="s">
        <v>233</v>
      </c>
      <c r="I16" s="4" t="s">
        <v>234</v>
      </c>
      <c r="J16" s="4" t="s">
        <v>235</v>
      </c>
    </row>
    <row r="17">
      <c r="A17" s="4" t="s">
        <v>231</v>
      </c>
      <c r="B17" s="4" t="s">
        <v>158</v>
      </c>
      <c r="C17" s="4" t="s">
        <v>236</v>
      </c>
      <c r="D17" s="4">
        <v>2020.0</v>
      </c>
      <c r="E17" s="4" t="s">
        <v>172</v>
      </c>
      <c r="F17" s="11" t="s">
        <v>168</v>
      </c>
      <c r="G17" s="4" t="s">
        <v>173</v>
      </c>
      <c r="H17" s="4" t="s">
        <v>237</v>
      </c>
      <c r="I17" s="4" t="s">
        <v>238</v>
      </c>
      <c r="J17" s="4" t="s">
        <v>239</v>
      </c>
    </row>
    <row r="18">
      <c r="A18" s="4" t="s">
        <v>231</v>
      </c>
      <c r="B18" s="4" t="s">
        <v>158</v>
      </c>
      <c r="C18" s="4" t="s">
        <v>236</v>
      </c>
      <c r="D18" s="4">
        <v>2024.0</v>
      </c>
      <c r="E18" s="4" t="s">
        <v>240</v>
      </c>
      <c r="F18" s="4" t="s">
        <v>167</v>
      </c>
      <c r="G18" s="4" t="s">
        <v>201</v>
      </c>
      <c r="H18" s="4" t="s">
        <v>201</v>
      </c>
      <c r="I18" s="4" t="s">
        <v>241</v>
      </c>
      <c r="J18" s="4" t="s">
        <v>242</v>
      </c>
    </row>
    <row r="19" ht="15.75" customHeight="1">
      <c r="A19" s="4" t="s">
        <v>243</v>
      </c>
      <c r="B19" s="4" t="s">
        <v>183</v>
      </c>
      <c r="C19" s="4" t="s">
        <v>244</v>
      </c>
      <c r="D19" s="4">
        <v>1992.0</v>
      </c>
      <c r="E19" s="4" t="s">
        <v>245</v>
      </c>
      <c r="F19" s="11" t="s">
        <v>168</v>
      </c>
      <c r="G19" s="4" t="s">
        <v>201</v>
      </c>
      <c r="H19" s="4" t="s">
        <v>246</v>
      </c>
      <c r="I19" s="4" t="s">
        <v>247</v>
      </c>
      <c r="J19" s="4" t="s">
        <v>248</v>
      </c>
    </row>
    <row r="20" ht="15.75" customHeight="1">
      <c r="A20" s="4" t="s">
        <v>243</v>
      </c>
      <c r="B20" s="4" t="s">
        <v>183</v>
      </c>
      <c r="C20" s="4" t="s">
        <v>244</v>
      </c>
      <c r="D20" s="4">
        <v>1997.0</v>
      </c>
      <c r="E20" s="4" t="s">
        <v>172</v>
      </c>
      <c r="F20" s="11" t="s">
        <v>168</v>
      </c>
      <c r="G20" s="4" t="s">
        <v>201</v>
      </c>
      <c r="H20" s="4" t="s">
        <v>249</v>
      </c>
      <c r="I20" s="4" t="s">
        <v>250</v>
      </c>
      <c r="J20" s="4" t="s">
        <v>251</v>
      </c>
    </row>
    <row r="21" ht="15.75" customHeight="1">
      <c r="A21" s="4" t="s">
        <v>243</v>
      </c>
      <c r="B21" s="4" t="s">
        <v>183</v>
      </c>
      <c r="C21" s="4" t="s">
        <v>252</v>
      </c>
      <c r="D21" s="4">
        <v>2002.0</v>
      </c>
      <c r="E21" s="4" t="s">
        <v>189</v>
      </c>
      <c r="F21" s="4" t="s">
        <v>161</v>
      </c>
      <c r="G21" s="4" t="s">
        <v>162</v>
      </c>
      <c r="H21" s="4" t="s">
        <v>253</v>
      </c>
      <c r="I21" s="4" t="s">
        <v>254</v>
      </c>
      <c r="J21" s="4" t="s">
        <v>255</v>
      </c>
    </row>
    <row r="22" ht="15.75" customHeight="1">
      <c r="A22" s="4" t="s">
        <v>243</v>
      </c>
      <c r="B22" s="4" t="s">
        <v>183</v>
      </c>
      <c r="C22" s="4" t="s">
        <v>252</v>
      </c>
      <c r="D22" s="4">
        <v>2007.0</v>
      </c>
      <c r="E22" s="4" t="s">
        <v>172</v>
      </c>
      <c r="F22" s="4" t="s">
        <v>170</v>
      </c>
      <c r="G22" s="4" t="s">
        <v>173</v>
      </c>
      <c r="H22" s="4" t="s">
        <v>256</v>
      </c>
      <c r="I22" s="4" t="s">
        <v>257</v>
      </c>
      <c r="J22" s="4" t="s">
        <v>258</v>
      </c>
    </row>
    <row r="23" ht="15.75" customHeight="1">
      <c r="A23" s="4" t="s">
        <v>243</v>
      </c>
      <c r="B23" s="4" t="s">
        <v>183</v>
      </c>
      <c r="C23" s="4" t="s">
        <v>259</v>
      </c>
      <c r="D23" s="4">
        <v>2013.0</v>
      </c>
      <c r="E23" s="4" t="s">
        <v>189</v>
      </c>
      <c r="F23" s="4" t="s">
        <v>161</v>
      </c>
      <c r="G23" s="4" t="s">
        <v>162</v>
      </c>
      <c r="H23" s="4" t="s">
        <v>237</v>
      </c>
      <c r="I23" s="4" t="s">
        <v>201</v>
      </c>
      <c r="J23" s="4" t="s">
        <v>260</v>
      </c>
    </row>
    <row r="24" ht="15.75" customHeight="1">
      <c r="A24" s="4" t="s">
        <v>243</v>
      </c>
      <c r="B24" s="4" t="s">
        <v>183</v>
      </c>
      <c r="C24" s="4" t="s">
        <v>259</v>
      </c>
      <c r="D24" s="4">
        <v>2017.0</v>
      </c>
      <c r="E24" s="4" t="s">
        <v>172</v>
      </c>
      <c r="F24" s="4" t="s">
        <v>169</v>
      </c>
      <c r="G24" s="4" t="s">
        <v>173</v>
      </c>
      <c r="H24" s="4" t="s">
        <v>261</v>
      </c>
      <c r="I24" s="4" t="s">
        <v>262</v>
      </c>
      <c r="J24" s="4" t="s">
        <v>263</v>
      </c>
    </row>
    <row r="25" ht="15.75" customHeight="1">
      <c r="A25" s="4" t="s">
        <v>243</v>
      </c>
      <c r="B25" s="4" t="s">
        <v>183</v>
      </c>
      <c r="C25" s="4" t="s">
        <v>264</v>
      </c>
      <c r="D25" s="4">
        <v>2022.0</v>
      </c>
      <c r="E25" s="4" t="s">
        <v>265</v>
      </c>
      <c r="F25" s="4" t="s">
        <v>161</v>
      </c>
      <c r="G25" s="4" t="s">
        <v>162</v>
      </c>
      <c r="H25" s="4" t="s">
        <v>266</v>
      </c>
      <c r="I25" s="4" t="s">
        <v>267</v>
      </c>
      <c r="J25" s="4" t="s">
        <v>268</v>
      </c>
    </row>
    <row r="26" ht="15.75" customHeight="1">
      <c r="A26" s="4" t="s">
        <v>269</v>
      </c>
      <c r="B26" s="4" t="s">
        <v>183</v>
      </c>
      <c r="C26" s="4" t="s">
        <v>270</v>
      </c>
      <c r="D26" s="4">
        <v>1996.0</v>
      </c>
      <c r="E26" s="4" t="s">
        <v>271</v>
      </c>
      <c r="F26" s="11" t="s">
        <v>168</v>
      </c>
      <c r="G26" s="4" t="s">
        <v>201</v>
      </c>
      <c r="H26" s="4" t="s">
        <v>272</v>
      </c>
      <c r="I26" s="4" t="s">
        <v>273</v>
      </c>
      <c r="J26" s="4" t="s">
        <v>274</v>
      </c>
    </row>
    <row r="27" ht="15.75" customHeight="1">
      <c r="A27" s="4" t="s">
        <v>269</v>
      </c>
      <c r="B27" s="4" t="s">
        <v>183</v>
      </c>
      <c r="C27" s="4" t="s">
        <v>270</v>
      </c>
      <c r="D27" s="4">
        <v>2001.0</v>
      </c>
      <c r="E27" s="4" t="s">
        <v>172</v>
      </c>
      <c r="F27" s="11" t="s">
        <v>168</v>
      </c>
      <c r="G27" s="4" t="s">
        <v>201</v>
      </c>
      <c r="H27" s="4" t="s">
        <v>275</v>
      </c>
      <c r="I27" s="4" t="s">
        <v>201</v>
      </c>
      <c r="J27" s="4" t="s">
        <v>276</v>
      </c>
    </row>
    <row r="28" ht="15.75" customHeight="1">
      <c r="A28" s="4" t="s">
        <v>269</v>
      </c>
      <c r="B28" s="4" t="s">
        <v>183</v>
      </c>
      <c r="C28" s="4" t="s">
        <v>270</v>
      </c>
      <c r="D28" s="4">
        <v>2006.0</v>
      </c>
      <c r="E28" s="4" t="s">
        <v>172</v>
      </c>
      <c r="F28" s="11" t="s">
        <v>168</v>
      </c>
      <c r="G28" s="4" t="s">
        <v>201</v>
      </c>
      <c r="H28" s="4" t="s">
        <v>277</v>
      </c>
      <c r="I28" s="4" t="s">
        <v>278</v>
      </c>
      <c r="J28" s="4" t="s">
        <v>279</v>
      </c>
    </row>
    <row r="29" ht="15.75" customHeight="1">
      <c r="A29" s="4" t="s">
        <v>269</v>
      </c>
      <c r="B29" s="4" t="s">
        <v>183</v>
      </c>
      <c r="C29" s="4" t="s">
        <v>270</v>
      </c>
      <c r="D29" s="4">
        <v>2011.0</v>
      </c>
      <c r="E29" s="4" t="s">
        <v>172</v>
      </c>
      <c r="F29" s="11" t="s">
        <v>168</v>
      </c>
      <c r="G29" s="4" t="s">
        <v>201</v>
      </c>
      <c r="H29" s="4" t="s">
        <v>237</v>
      </c>
      <c r="I29" s="4" t="s">
        <v>280</v>
      </c>
      <c r="J29" s="4" t="s">
        <v>281</v>
      </c>
    </row>
    <row r="30" ht="15.75" customHeight="1">
      <c r="A30" s="4" t="s">
        <v>269</v>
      </c>
      <c r="B30" s="4" t="s">
        <v>183</v>
      </c>
      <c r="C30" s="4" t="s">
        <v>270</v>
      </c>
      <c r="D30" s="4">
        <v>2016.0</v>
      </c>
      <c r="E30" s="4" t="s">
        <v>172</v>
      </c>
      <c r="F30" s="11" t="s">
        <v>168</v>
      </c>
      <c r="G30" s="4" t="s">
        <v>201</v>
      </c>
      <c r="H30" s="4" t="s">
        <v>237</v>
      </c>
      <c r="I30" s="4" t="s">
        <v>201</v>
      </c>
      <c r="J30" s="4" t="s">
        <v>282</v>
      </c>
    </row>
    <row r="31" ht="15.75" customHeight="1">
      <c r="A31" s="4" t="s">
        <v>269</v>
      </c>
      <c r="B31" s="4" t="s">
        <v>183</v>
      </c>
      <c r="C31" s="4" t="s">
        <v>270</v>
      </c>
      <c r="D31" s="4">
        <v>2021.0</v>
      </c>
      <c r="E31" s="4" t="s">
        <v>172</v>
      </c>
      <c r="F31" s="11" t="s">
        <v>168</v>
      </c>
      <c r="G31" s="4" t="s">
        <v>201</v>
      </c>
      <c r="H31" s="4" t="s">
        <v>237</v>
      </c>
      <c r="I31" s="4" t="s">
        <v>283</v>
      </c>
      <c r="J31" s="4" t="s">
        <v>284</v>
      </c>
    </row>
    <row r="32" ht="15.75" customHeight="1">
      <c r="A32" s="4" t="s">
        <v>285</v>
      </c>
      <c r="B32" s="4" t="s">
        <v>213</v>
      </c>
      <c r="C32" s="4" t="s">
        <v>286</v>
      </c>
      <c r="D32" s="4">
        <v>2013.0</v>
      </c>
      <c r="E32" s="4" t="s">
        <v>287</v>
      </c>
      <c r="F32" s="11" t="s">
        <v>168</v>
      </c>
      <c r="G32" s="4" t="s">
        <v>201</v>
      </c>
      <c r="H32" s="4" t="s">
        <v>288</v>
      </c>
      <c r="I32" s="4" t="s">
        <v>201</v>
      </c>
      <c r="J32" s="4" t="s">
        <v>289</v>
      </c>
    </row>
    <row r="33" ht="15.75" customHeight="1">
      <c r="A33" s="4" t="s">
        <v>285</v>
      </c>
      <c r="B33" s="4" t="s">
        <v>213</v>
      </c>
      <c r="C33" s="4" t="s">
        <v>290</v>
      </c>
      <c r="D33" s="4">
        <v>2018.0</v>
      </c>
      <c r="E33" s="4" t="s">
        <v>291</v>
      </c>
      <c r="F33" s="4" t="s">
        <v>161</v>
      </c>
      <c r="G33" s="4" t="s">
        <v>162</v>
      </c>
      <c r="H33" s="4" t="s">
        <v>292</v>
      </c>
      <c r="I33" s="4" t="s">
        <v>293</v>
      </c>
      <c r="J33" s="4" t="s">
        <v>260</v>
      </c>
    </row>
    <row r="34" ht="15.75" customHeight="1">
      <c r="A34" s="4" t="s">
        <v>285</v>
      </c>
      <c r="B34" s="4" t="s">
        <v>213</v>
      </c>
      <c r="C34" s="4" t="s">
        <v>290</v>
      </c>
      <c r="D34" s="4">
        <v>2023.0</v>
      </c>
      <c r="E34" s="4" t="s">
        <v>172</v>
      </c>
      <c r="F34" s="11" t="s">
        <v>168</v>
      </c>
      <c r="G34" s="4" t="s">
        <v>173</v>
      </c>
      <c r="H34" s="4" t="s">
        <v>294</v>
      </c>
      <c r="I34" s="4" t="s">
        <v>295</v>
      </c>
      <c r="J34" s="4" t="s">
        <v>296</v>
      </c>
    </row>
    <row r="35" ht="15.75" customHeight="1">
      <c r="A35" s="4" t="s">
        <v>297</v>
      </c>
      <c r="B35" s="4" t="s">
        <v>193</v>
      </c>
      <c r="C35" s="4" t="s">
        <v>298</v>
      </c>
      <c r="D35" s="4">
        <v>2018.0</v>
      </c>
      <c r="E35" s="4" t="s">
        <v>299</v>
      </c>
      <c r="F35" s="11" t="s">
        <v>168</v>
      </c>
      <c r="G35" s="4" t="s">
        <v>173</v>
      </c>
      <c r="H35" s="4" t="s">
        <v>300</v>
      </c>
      <c r="I35" s="4" t="s">
        <v>301</v>
      </c>
      <c r="J35" s="4" t="s">
        <v>302</v>
      </c>
    </row>
    <row r="36" ht="15.75" customHeight="1">
      <c r="A36" s="4" t="s">
        <v>297</v>
      </c>
      <c r="B36" s="4" t="s">
        <v>193</v>
      </c>
      <c r="C36" s="4" t="s">
        <v>298</v>
      </c>
      <c r="D36" s="4">
        <v>2023.0</v>
      </c>
      <c r="E36" s="4" t="s">
        <v>172</v>
      </c>
      <c r="F36" s="11" t="s">
        <v>168</v>
      </c>
      <c r="G36" s="4" t="s">
        <v>223</v>
      </c>
      <c r="H36" s="4" t="s">
        <v>303</v>
      </c>
      <c r="I36" s="4" t="s">
        <v>304</v>
      </c>
      <c r="J36" s="4" t="s">
        <v>305</v>
      </c>
    </row>
    <row r="37" ht="15.75" customHeight="1">
      <c r="A37" s="4" t="s">
        <v>306</v>
      </c>
      <c r="B37" s="4" t="s">
        <v>177</v>
      </c>
      <c r="C37" s="4" t="s">
        <v>307</v>
      </c>
      <c r="D37" s="4">
        <v>2018.0</v>
      </c>
      <c r="E37" s="4" t="s">
        <v>308</v>
      </c>
      <c r="F37" s="11" t="s">
        <v>168</v>
      </c>
      <c r="G37" s="4" t="s">
        <v>309</v>
      </c>
      <c r="H37" s="4" t="s">
        <v>310</v>
      </c>
      <c r="I37" s="4" t="s">
        <v>311</v>
      </c>
      <c r="J37" s="4" t="s">
        <v>260</v>
      </c>
    </row>
    <row r="38" ht="15.75" customHeight="1">
      <c r="A38" s="4" t="s">
        <v>306</v>
      </c>
      <c r="B38" s="4" t="s">
        <v>177</v>
      </c>
      <c r="C38" s="4" t="s">
        <v>307</v>
      </c>
      <c r="D38" s="4">
        <v>2025.0</v>
      </c>
      <c r="E38" s="4" t="s">
        <v>172</v>
      </c>
      <c r="F38" s="11" t="s">
        <v>168</v>
      </c>
      <c r="G38" s="4" t="s">
        <v>312</v>
      </c>
      <c r="H38" s="4" t="s">
        <v>313</v>
      </c>
      <c r="I38" s="4" t="s">
        <v>314</v>
      </c>
      <c r="J38" s="4" t="s">
        <v>315</v>
      </c>
    </row>
    <row r="39" ht="15.75" customHeight="1">
      <c r="A39" s="4" t="s">
        <v>316</v>
      </c>
      <c r="B39" s="4" t="s">
        <v>183</v>
      </c>
      <c r="C39" s="4" t="s">
        <v>317</v>
      </c>
      <c r="D39" s="4">
        <v>2003.0</v>
      </c>
      <c r="E39" s="4" t="s">
        <v>318</v>
      </c>
      <c r="F39" s="11" t="s">
        <v>168</v>
      </c>
      <c r="G39" s="4" t="s">
        <v>201</v>
      </c>
      <c r="H39" s="4" t="s">
        <v>319</v>
      </c>
      <c r="I39" s="4" t="s">
        <v>201</v>
      </c>
      <c r="J39" s="4" t="s">
        <v>320</v>
      </c>
    </row>
    <row r="40" ht="15.75" customHeight="1">
      <c r="A40" s="4" t="s">
        <v>316</v>
      </c>
      <c r="B40" s="4" t="s">
        <v>183</v>
      </c>
      <c r="C40" s="4" t="s">
        <v>317</v>
      </c>
      <c r="D40" s="4">
        <v>2010.0</v>
      </c>
      <c r="E40" s="4" t="s">
        <v>172</v>
      </c>
      <c r="F40" s="11" t="s">
        <v>168</v>
      </c>
      <c r="G40" s="4" t="s">
        <v>201</v>
      </c>
      <c r="H40" s="4" t="s">
        <v>321</v>
      </c>
      <c r="I40" s="4" t="s">
        <v>201</v>
      </c>
      <c r="J40" s="4" t="s">
        <v>322</v>
      </c>
    </row>
    <row r="41" ht="15.75" customHeight="1">
      <c r="A41" s="4" t="s">
        <v>316</v>
      </c>
      <c r="B41" s="4" t="s">
        <v>183</v>
      </c>
      <c r="C41" s="4" t="s">
        <v>317</v>
      </c>
      <c r="D41" s="4">
        <v>2017.0</v>
      </c>
      <c r="E41" s="4" t="s">
        <v>172</v>
      </c>
      <c r="F41" s="11" t="s">
        <v>168</v>
      </c>
      <c r="G41" s="4" t="s">
        <v>323</v>
      </c>
      <c r="H41" s="4" t="s">
        <v>324</v>
      </c>
      <c r="I41" s="4" t="s">
        <v>325</v>
      </c>
      <c r="J41" s="4" t="s">
        <v>326</v>
      </c>
    </row>
    <row r="42" ht="15.75" customHeight="1">
      <c r="A42" s="4" t="s">
        <v>316</v>
      </c>
      <c r="B42" s="4" t="s">
        <v>183</v>
      </c>
      <c r="C42" s="4" t="s">
        <v>317</v>
      </c>
      <c r="D42" s="4">
        <v>2024.0</v>
      </c>
      <c r="E42" s="4" t="s">
        <v>172</v>
      </c>
      <c r="F42" s="11" t="s">
        <v>168</v>
      </c>
      <c r="G42" s="4" t="s">
        <v>327</v>
      </c>
      <c r="H42" s="4" t="s">
        <v>328</v>
      </c>
      <c r="I42" s="4" t="s">
        <v>329</v>
      </c>
      <c r="J42" s="4" t="s">
        <v>330</v>
      </c>
    </row>
    <row r="43" ht="15.75" customHeight="1">
      <c r="A43" s="4" t="s">
        <v>331</v>
      </c>
      <c r="B43" s="4" t="s">
        <v>200</v>
      </c>
      <c r="C43" s="4" t="s">
        <v>332</v>
      </c>
      <c r="D43" s="4">
        <v>1800.0</v>
      </c>
      <c r="E43" s="4" t="s">
        <v>172</v>
      </c>
      <c r="F43" s="12" t="s">
        <v>18</v>
      </c>
      <c r="G43" s="4" t="s">
        <v>201</v>
      </c>
      <c r="H43" s="4" t="s">
        <v>333</v>
      </c>
      <c r="I43" s="4" t="s">
        <v>334</v>
      </c>
      <c r="J43" s="4" t="s">
        <v>335</v>
      </c>
    </row>
    <row r="44" ht="15.75" customHeight="1">
      <c r="A44" s="4" t="s">
        <v>331</v>
      </c>
      <c r="B44" s="4" t="s">
        <v>200</v>
      </c>
      <c r="C44" s="4" t="s">
        <v>336</v>
      </c>
      <c r="D44" s="4">
        <v>1828.0</v>
      </c>
      <c r="E44" s="4" t="s">
        <v>172</v>
      </c>
      <c r="F44" s="12" t="s">
        <v>18</v>
      </c>
      <c r="G44" s="4" t="s">
        <v>201</v>
      </c>
      <c r="H44" s="4" t="s">
        <v>36</v>
      </c>
      <c r="I44" s="4" t="s">
        <v>337</v>
      </c>
      <c r="J44" s="4" t="s">
        <v>338</v>
      </c>
    </row>
    <row r="45" ht="15.75" customHeight="1">
      <c r="A45" s="4" t="s">
        <v>331</v>
      </c>
      <c r="B45" s="4" t="s">
        <v>200</v>
      </c>
      <c r="C45" s="4" t="s">
        <v>339</v>
      </c>
      <c r="D45" s="4">
        <v>1840.0</v>
      </c>
      <c r="E45" s="4" t="s">
        <v>172</v>
      </c>
      <c r="F45" s="12" t="s">
        <v>18</v>
      </c>
      <c r="G45" s="4" t="s">
        <v>201</v>
      </c>
      <c r="H45" s="4" t="s">
        <v>36</v>
      </c>
      <c r="I45" s="4" t="s">
        <v>340</v>
      </c>
      <c r="J45" s="4" t="s">
        <v>338</v>
      </c>
    </row>
    <row r="46" ht="15.75" customHeight="1">
      <c r="A46" s="4" t="s">
        <v>331</v>
      </c>
      <c r="B46" s="4" t="s">
        <v>200</v>
      </c>
      <c r="C46" s="4" t="s">
        <v>341</v>
      </c>
      <c r="D46" s="4">
        <v>1888.0</v>
      </c>
      <c r="E46" s="4" t="s">
        <v>172</v>
      </c>
      <c r="F46" s="12" t="s">
        <v>18</v>
      </c>
      <c r="G46" s="4" t="s">
        <v>201</v>
      </c>
      <c r="H46" s="4" t="s">
        <v>36</v>
      </c>
      <c r="I46" s="4" t="s">
        <v>342</v>
      </c>
      <c r="J46" s="4" t="s">
        <v>343</v>
      </c>
    </row>
    <row r="47" ht="15.75" customHeight="1">
      <c r="A47" s="4" t="s">
        <v>331</v>
      </c>
      <c r="B47" s="4" t="s">
        <v>200</v>
      </c>
      <c r="C47" s="4" t="s">
        <v>344</v>
      </c>
      <c r="D47" s="4">
        <v>1892.0</v>
      </c>
      <c r="E47" s="4" t="s">
        <v>172</v>
      </c>
      <c r="F47" s="12" t="s">
        <v>18</v>
      </c>
      <c r="G47" s="4" t="s">
        <v>201</v>
      </c>
      <c r="H47" s="4" t="s">
        <v>36</v>
      </c>
      <c r="I47" s="4" t="s">
        <v>345</v>
      </c>
      <c r="J47" s="4" t="s">
        <v>343</v>
      </c>
    </row>
    <row r="48" ht="15.75" customHeight="1">
      <c r="A48" s="4" t="s">
        <v>331</v>
      </c>
      <c r="B48" s="4" t="s">
        <v>200</v>
      </c>
      <c r="C48" s="4" t="s">
        <v>346</v>
      </c>
      <c r="D48" s="4">
        <v>1912.0</v>
      </c>
      <c r="E48" s="4" t="s">
        <v>172</v>
      </c>
      <c r="F48" s="12" t="s">
        <v>18</v>
      </c>
      <c r="G48" s="4" t="s">
        <v>201</v>
      </c>
      <c r="H48" s="4" t="s">
        <v>36</v>
      </c>
      <c r="I48" s="4" t="s">
        <v>347</v>
      </c>
      <c r="J48" s="4" t="s">
        <v>338</v>
      </c>
    </row>
    <row r="49" ht="15.75" customHeight="1">
      <c r="A49" s="4" t="s">
        <v>331</v>
      </c>
      <c r="B49" s="4" t="s">
        <v>200</v>
      </c>
      <c r="C49" s="4" t="s">
        <v>348</v>
      </c>
      <c r="D49" s="4">
        <v>1932.0</v>
      </c>
      <c r="E49" s="4" t="s">
        <v>172</v>
      </c>
      <c r="F49" s="12" t="s">
        <v>18</v>
      </c>
      <c r="G49" s="4" t="s">
        <v>201</v>
      </c>
      <c r="H49" s="4" t="s">
        <v>36</v>
      </c>
      <c r="I49" s="4" t="s">
        <v>349</v>
      </c>
      <c r="J49" s="4" t="s">
        <v>338</v>
      </c>
    </row>
    <row r="50" ht="15.75" customHeight="1">
      <c r="A50" s="4" t="s">
        <v>331</v>
      </c>
      <c r="B50" s="4" t="s">
        <v>200</v>
      </c>
      <c r="C50" s="4" t="s">
        <v>350</v>
      </c>
      <c r="D50" s="4">
        <v>1976.0</v>
      </c>
      <c r="E50" s="4" t="s">
        <v>351</v>
      </c>
      <c r="F50" s="12" t="s">
        <v>18</v>
      </c>
      <c r="G50" s="4" t="s">
        <v>201</v>
      </c>
      <c r="H50" s="4" t="s">
        <v>36</v>
      </c>
      <c r="I50" s="4" t="s">
        <v>352</v>
      </c>
      <c r="J50" s="4" t="s">
        <v>335</v>
      </c>
    </row>
    <row r="51" ht="15.75" customHeight="1">
      <c r="A51" s="4" t="s">
        <v>331</v>
      </c>
      <c r="B51" s="4" t="s">
        <v>200</v>
      </c>
      <c r="C51" s="4" t="s">
        <v>353</v>
      </c>
      <c r="D51" s="4">
        <v>1980.0</v>
      </c>
      <c r="E51" s="4" t="s">
        <v>172</v>
      </c>
      <c r="F51" s="12" t="s">
        <v>18</v>
      </c>
      <c r="G51" s="4" t="s">
        <v>201</v>
      </c>
      <c r="H51" s="4" t="s">
        <v>36</v>
      </c>
      <c r="I51" s="4" t="s">
        <v>354</v>
      </c>
      <c r="J51" s="4" t="s">
        <v>355</v>
      </c>
    </row>
    <row r="52" ht="15.75" customHeight="1">
      <c r="A52" s="4" t="s">
        <v>331</v>
      </c>
      <c r="B52" s="4" t="s">
        <v>200</v>
      </c>
      <c r="C52" s="4" t="s">
        <v>356</v>
      </c>
      <c r="D52" s="4">
        <v>1992.0</v>
      </c>
      <c r="E52" s="4" t="s">
        <v>172</v>
      </c>
      <c r="F52" s="12" t="s">
        <v>18</v>
      </c>
      <c r="G52" s="4" t="s">
        <v>201</v>
      </c>
      <c r="H52" s="4" t="s">
        <v>36</v>
      </c>
      <c r="I52" s="4" t="s">
        <v>357</v>
      </c>
      <c r="J52" s="4" t="s">
        <v>358</v>
      </c>
    </row>
    <row r="53" ht="15.75" customHeight="1">
      <c r="A53" s="4" t="s">
        <v>331</v>
      </c>
      <c r="B53" s="4" t="s">
        <v>200</v>
      </c>
      <c r="C53" s="4" t="s">
        <v>359</v>
      </c>
      <c r="D53" s="4">
        <v>1996.0</v>
      </c>
      <c r="E53" s="4" t="s">
        <v>172</v>
      </c>
      <c r="F53" s="11" t="s">
        <v>168</v>
      </c>
      <c r="G53" s="4" t="s">
        <v>173</v>
      </c>
      <c r="H53" s="4" t="s">
        <v>360</v>
      </c>
      <c r="I53" s="4" t="s">
        <v>201</v>
      </c>
      <c r="J53" s="4" t="s">
        <v>361</v>
      </c>
    </row>
    <row r="54" ht="15.75" customHeight="1">
      <c r="A54" s="4" t="s">
        <v>331</v>
      </c>
      <c r="B54" s="4" t="s">
        <v>200</v>
      </c>
      <c r="C54" s="4" t="s">
        <v>362</v>
      </c>
      <c r="D54" s="4">
        <v>2004.0</v>
      </c>
      <c r="E54" s="4" t="s">
        <v>172</v>
      </c>
      <c r="F54" s="11" t="s">
        <v>168</v>
      </c>
      <c r="G54" s="4" t="s">
        <v>173</v>
      </c>
      <c r="H54" s="4" t="s">
        <v>363</v>
      </c>
      <c r="I54" s="4" t="s">
        <v>201</v>
      </c>
      <c r="J54" s="4" t="s">
        <v>361</v>
      </c>
    </row>
    <row r="55" ht="15.75" customHeight="1">
      <c r="A55" s="4" t="s">
        <v>331</v>
      </c>
      <c r="B55" s="4" t="s">
        <v>200</v>
      </c>
      <c r="C55" s="4" t="s">
        <v>364</v>
      </c>
      <c r="D55" s="4">
        <v>2012.0</v>
      </c>
      <c r="E55" s="4" t="s">
        <v>172</v>
      </c>
      <c r="F55" s="11" t="s">
        <v>168</v>
      </c>
      <c r="G55" s="4" t="s">
        <v>173</v>
      </c>
      <c r="H55" s="4" t="s">
        <v>365</v>
      </c>
      <c r="I55" s="4" t="s">
        <v>201</v>
      </c>
      <c r="J55" s="4" t="s">
        <v>361</v>
      </c>
    </row>
    <row r="56" ht="15.75" customHeight="1">
      <c r="A56" s="4" t="s">
        <v>331</v>
      </c>
      <c r="B56" s="4" t="s">
        <v>200</v>
      </c>
      <c r="C56" s="4" t="s">
        <v>366</v>
      </c>
      <c r="D56" s="4">
        <v>2020.0</v>
      </c>
      <c r="E56" s="4" t="s">
        <v>172</v>
      </c>
      <c r="F56" s="12" t="s">
        <v>18</v>
      </c>
      <c r="G56" s="4" t="s">
        <v>201</v>
      </c>
      <c r="H56" s="4" t="s">
        <v>367</v>
      </c>
      <c r="I56" s="4" t="s">
        <v>368</v>
      </c>
      <c r="J56" s="4" t="s">
        <v>369</v>
      </c>
    </row>
    <row r="57" ht="15.75" customHeight="1">
      <c r="A57" s="4" t="s">
        <v>331</v>
      </c>
      <c r="B57" s="4" t="s">
        <v>200</v>
      </c>
      <c r="C57" s="4" t="s">
        <v>370</v>
      </c>
      <c r="D57" s="4">
        <v>2024.0</v>
      </c>
      <c r="E57" s="4" t="s">
        <v>371</v>
      </c>
      <c r="F57" s="4" t="s">
        <v>166</v>
      </c>
      <c r="G57" s="4" t="s">
        <v>201</v>
      </c>
      <c r="H57" s="4" t="s">
        <v>201</v>
      </c>
      <c r="I57" s="4" t="s">
        <v>372</v>
      </c>
      <c r="J57" s="4" t="s">
        <v>373</v>
      </c>
    </row>
    <row r="58" ht="15.75" customHeight="1">
      <c r="A58" s="4" t="s">
        <v>374</v>
      </c>
      <c r="B58" s="4" t="s">
        <v>187</v>
      </c>
      <c r="C58" s="4" t="s">
        <v>375</v>
      </c>
      <c r="D58" s="4">
        <v>1996.0</v>
      </c>
      <c r="E58" s="4" t="s">
        <v>172</v>
      </c>
      <c r="F58" s="11" t="s">
        <v>168</v>
      </c>
      <c r="G58" s="4" t="s">
        <v>173</v>
      </c>
      <c r="H58" s="4" t="s">
        <v>376</v>
      </c>
      <c r="I58" s="4" t="s">
        <v>377</v>
      </c>
      <c r="J58" s="4" t="s">
        <v>378</v>
      </c>
    </row>
    <row r="59" ht="15.75" customHeight="1">
      <c r="A59" s="4" t="s">
        <v>374</v>
      </c>
      <c r="B59" s="4" t="s">
        <v>187</v>
      </c>
      <c r="C59" s="4" t="s">
        <v>379</v>
      </c>
      <c r="D59" s="4">
        <v>2004.0</v>
      </c>
      <c r="E59" s="4" t="s">
        <v>172</v>
      </c>
      <c r="F59" s="11" t="s">
        <v>168</v>
      </c>
      <c r="G59" s="4" t="s">
        <v>173</v>
      </c>
      <c r="H59" s="4" t="s">
        <v>237</v>
      </c>
      <c r="I59" s="4" t="s">
        <v>201</v>
      </c>
      <c r="J59" s="4" t="s">
        <v>380</v>
      </c>
    </row>
    <row r="60" ht="15.75" customHeight="1">
      <c r="A60" s="4" t="s">
        <v>374</v>
      </c>
      <c r="B60" s="4" t="s">
        <v>187</v>
      </c>
      <c r="C60" s="4" t="s">
        <v>379</v>
      </c>
      <c r="D60" s="4">
        <v>2012.0</v>
      </c>
      <c r="E60" s="4" t="s">
        <v>381</v>
      </c>
      <c r="F60" s="11" t="s">
        <v>168</v>
      </c>
      <c r="G60" s="4" t="s">
        <v>382</v>
      </c>
      <c r="H60" s="4" t="s">
        <v>237</v>
      </c>
      <c r="I60" s="4" t="s">
        <v>383</v>
      </c>
      <c r="J60" s="4" t="s">
        <v>384</v>
      </c>
    </row>
    <row r="61" ht="15.75" customHeight="1">
      <c r="A61" s="4" t="s">
        <v>374</v>
      </c>
      <c r="B61" s="4" t="s">
        <v>187</v>
      </c>
      <c r="C61" s="4" t="s">
        <v>379</v>
      </c>
      <c r="D61" s="4">
        <v>2018.0</v>
      </c>
      <c r="E61" s="4" t="s">
        <v>172</v>
      </c>
      <c r="F61" s="11" t="s">
        <v>168</v>
      </c>
      <c r="G61" s="4" t="s">
        <v>385</v>
      </c>
      <c r="H61" s="4" t="s">
        <v>386</v>
      </c>
      <c r="I61" s="4" t="s">
        <v>201</v>
      </c>
      <c r="J61" s="4" t="s">
        <v>387</v>
      </c>
    </row>
    <row r="62" ht="15.75" customHeight="1">
      <c r="A62" s="4" t="s">
        <v>374</v>
      </c>
      <c r="B62" s="4" t="s">
        <v>187</v>
      </c>
      <c r="C62" s="4" t="s">
        <v>379</v>
      </c>
      <c r="D62" s="4">
        <v>2024.0</v>
      </c>
      <c r="E62" s="4" t="s">
        <v>172</v>
      </c>
      <c r="F62" s="11" t="s">
        <v>168</v>
      </c>
      <c r="G62" s="4" t="s">
        <v>388</v>
      </c>
      <c r="H62" s="4" t="s">
        <v>389</v>
      </c>
      <c r="I62" s="4" t="s">
        <v>390</v>
      </c>
      <c r="J62" s="4" t="s">
        <v>391</v>
      </c>
    </row>
    <row r="63" ht="15.75" customHeight="1">
      <c r="A63" s="4" t="s">
        <v>392</v>
      </c>
      <c r="B63" s="4" t="s">
        <v>209</v>
      </c>
      <c r="C63" s="4" t="s">
        <v>393</v>
      </c>
      <c r="D63" s="4">
        <v>2012.0</v>
      </c>
      <c r="E63" s="4" t="s">
        <v>172</v>
      </c>
      <c r="F63" s="11" t="s">
        <v>168</v>
      </c>
      <c r="G63" s="4" t="s">
        <v>394</v>
      </c>
      <c r="H63" s="4" t="s">
        <v>395</v>
      </c>
      <c r="I63" s="4" t="s">
        <v>201</v>
      </c>
      <c r="J63" s="4" t="s">
        <v>396</v>
      </c>
    </row>
    <row r="64" ht="15.75" customHeight="1">
      <c r="A64" s="4" t="s">
        <v>392</v>
      </c>
      <c r="B64" s="4" t="s">
        <v>209</v>
      </c>
      <c r="C64" s="4" t="s">
        <v>397</v>
      </c>
      <c r="D64" s="4">
        <v>2018.0</v>
      </c>
      <c r="E64" s="4" t="s">
        <v>172</v>
      </c>
      <c r="F64" s="11" t="s">
        <v>168</v>
      </c>
      <c r="G64" s="4" t="s">
        <v>173</v>
      </c>
      <c r="H64" s="4" t="s">
        <v>398</v>
      </c>
      <c r="I64" s="4" t="s">
        <v>399</v>
      </c>
      <c r="J64" s="4" t="s">
        <v>400</v>
      </c>
    </row>
    <row r="65" ht="15.75" customHeight="1">
      <c r="A65" s="4" t="s">
        <v>392</v>
      </c>
      <c r="B65" s="4" t="s">
        <v>209</v>
      </c>
      <c r="C65" s="4" t="s">
        <v>397</v>
      </c>
      <c r="D65" s="4">
        <v>2024.0</v>
      </c>
      <c r="E65" s="4" t="s">
        <v>172</v>
      </c>
      <c r="F65" s="4" t="s">
        <v>170</v>
      </c>
      <c r="G65" s="4" t="s">
        <v>223</v>
      </c>
      <c r="H65" s="4" t="s">
        <v>401</v>
      </c>
      <c r="I65" s="4" t="s">
        <v>402</v>
      </c>
      <c r="J65" s="4" t="s">
        <v>403</v>
      </c>
    </row>
    <row r="66" ht="15.75" customHeight="1"/>
    <row r="67" ht="15.75" customHeight="1"/>
    <row r="68" ht="15.75" customHeight="1">
      <c r="A68" s="13" t="s">
        <v>150</v>
      </c>
      <c r="B68" s="13" t="s">
        <v>404</v>
      </c>
    </row>
    <row r="69" ht="15.75" customHeight="1">
      <c r="A69" s="14" t="s">
        <v>270</v>
      </c>
      <c r="B69" s="9">
        <f t="shared" ref="B69:B105" si="1">COUNTIFS($C$3:$C995,A69,$F$3:$F995,"Won")</f>
        <v>6</v>
      </c>
    </row>
    <row r="70" ht="15.75" customHeight="1">
      <c r="A70" s="14" t="s">
        <v>317</v>
      </c>
      <c r="B70" s="9">
        <f t="shared" si="1"/>
        <v>4</v>
      </c>
    </row>
    <row r="71" ht="15.75" customHeight="1">
      <c r="A71" s="14" t="s">
        <v>379</v>
      </c>
      <c r="B71" s="9">
        <f t="shared" si="1"/>
        <v>4</v>
      </c>
    </row>
    <row r="72" ht="15.75" customHeight="1">
      <c r="A72" s="14" t="s">
        <v>219</v>
      </c>
      <c r="B72" s="9">
        <f t="shared" si="1"/>
        <v>3</v>
      </c>
    </row>
    <row r="73" ht="15.75" customHeight="1">
      <c r="A73" s="14" t="s">
        <v>244</v>
      </c>
      <c r="B73" s="9">
        <f t="shared" si="1"/>
        <v>2</v>
      </c>
    </row>
    <row r="74" ht="15.75" customHeight="1">
      <c r="A74" s="14" t="s">
        <v>298</v>
      </c>
      <c r="B74" s="9">
        <f t="shared" si="1"/>
        <v>2</v>
      </c>
    </row>
    <row r="75" ht="15.75" customHeight="1">
      <c r="A75" s="14" t="s">
        <v>307</v>
      </c>
      <c r="B75" s="9">
        <f t="shared" si="1"/>
        <v>2</v>
      </c>
    </row>
    <row r="76" ht="15.75" customHeight="1">
      <c r="A76" s="14" t="s">
        <v>159</v>
      </c>
      <c r="B76" s="9">
        <f t="shared" si="1"/>
        <v>1</v>
      </c>
    </row>
    <row r="77" ht="15.75" customHeight="1">
      <c r="A77" s="14" t="s">
        <v>178</v>
      </c>
      <c r="B77" s="9">
        <f t="shared" si="1"/>
        <v>1</v>
      </c>
    </row>
    <row r="78" ht="15.75" customHeight="1">
      <c r="A78" s="14" t="s">
        <v>194</v>
      </c>
      <c r="B78" s="9">
        <f t="shared" si="1"/>
        <v>1</v>
      </c>
    </row>
    <row r="79" ht="15.75" customHeight="1">
      <c r="A79" s="14" t="s">
        <v>8</v>
      </c>
      <c r="B79" s="9">
        <f t="shared" si="1"/>
        <v>1</v>
      </c>
    </row>
    <row r="80" ht="15.75" customHeight="1">
      <c r="A80" s="14" t="s">
        <v>236</v>
      </c>
      <c r="B80" s="9">
        <f t="shared" si="1"/>
        <v>1</v>
      </c>
    </row>
    <row r="81" ht="15.75" customHeight="1">
      <c r="A81" s="14" t="s">
        <v>286</v>
      </c>
      <c r="B81" s="9">
        <f t="shared" si="1"/>
        <v>1</v>
      </c>
    </row>
    <row r="82" ht="15.75" customHeight="1">
      <c r="A82" s="14" t="s">
        <v>290</v>
      </c>
      <c r="B82" s="9">
        <f t="shared" si="1"/>
        <v>1</v>
      </c>
    </row>
    <row r="83" ht="15.75" customHeight="1">
      <c r="A83" s="14" t="s">
        <v>359</v>
      </c>
      <c r="B83" s="9">
        <f t="shared" si="1"/>
        <v>1</v>
      </c>
    </row>
    <row r="84" ht="15.75" customHeight="1">
      <c r="A84" s="14" t="s">
        <v>364</v>
      </c>
      <c r="B84" s="9">
        <f t="shared" si="1"/>
        <v>1</v>
      </c>
    </row>
    <row r="85" ht="15.75" customHeight="1">
      <c r="A85" s="14" t="s">
        <v>375</v>
      </c>
      <c r="B85" s="9">
        <f t="shared" si="1"/>
        <v>1</v>
      </c>
    </row>
    <row r="86" ht="15.75" customHeight="1">
      <c r="A86" s="14" t="s">
        <v>393</v>
      </c>
      <c r="B86" s="9">
        <f t="shared" si="1"/>
        <v>1</v>
      </c>
    </row>
    <row r="87" ht="15.75" customHeight="1">
      <c r="A87" s="14" t="s">
        <v>397</v>
      </c>
      <c r="B87" s="9">
        <f t="shared" si="1"/>
        <v>1</v>
      </c>
    </row>
    <row r="88" ht="15.75" customHeight="1">
      <c r="A88" s="14" t="s">
        <v>188</v>
      </c>
      <c r="B88" s="9">
        <f t="shared" si="1"/>
        <v>0</v>
      </c>
    </row>
    <row r="89" ht="15.75" customHeight="1">
      <c r="A89" s="14" t="s">
        <v>214</v>
      </c>
      <c r="B89" s="9">
        <f t="shared" si="1"/>
        <v>0</v>
      </c>
    </row>
    <row r="90" ht="15.75" customHeight="1">
      <c r="A90" s="14" t="s">
        <v>232</v>
      </c>
      <c r="B90" s="9">
        <f t="shared" si="1"/>
        <v>0</v>
      </c>
    </row>
    <row r="91" ht="15.75" customHeight="1">
      <c r="A91" s="14" t="s">
        <v>252</v>
      </c>
      <c r="B91" s="9">
        <f t="shared" si="1"/>
        <v>0</v>
      </c>
    </row>
    <row r="92" ht="15.75" customHeight="1">
      <c r="A92" s="14" t="s">
        <v>259</v>
      </c>
      <c r="B92" s="9">
        <f t="shared" si="1"/>
        <v>0</v>
      </c>
    </row>
    <row r="93" ht="15.75" customHeight="1">
      <c r="A93" s="14" t="s">
        <v>264</v>
      </c>
      <c r="B93" s="9">
        <f t="shared" si="1"/>
        <v>0</v>
      </c>
    </row>
    <row r="94" ht="15.75" customHeight="1">
      <c r="A94" s="14" t="s">
        <v>332</v>
      </c>
      <c r="B94" s="9">
        <f t="shared" si="1"/>
        <v>0</v>
      </c>
    </row>
    <row r="95" ht="15.75" customHeight="1">
      <c r="A95" s="14" t="s">
        <v>336</v>
      </c>
      <c r="B95" s="9">
        <f t="shared" si="1"/>
        <v>0</v>
      </c>
    </row>
    <row r="96" ht="15.75" customHeight="1">
      <c r="A96" s="14" t="s">
        <v>339</v>
      </c>
      <c r="B96" s="9">
        <f t="shared" si="1"/>
        <v>0</v>
      </c>
    </row>
    <row r="97" ht="15.75" customHeight="1">
      <c r="A97" s="14" t="s">
        <v>341</v>
      </c>
      <c r="B97" s="9">
        <f t="shared" si="1"/>
        <v>0</v>
      </c>
    </row>
    <row r="98" ht="15.75" customHeight="1">
      <c r="A98" s="14" t="s">
        <v>344</v>
      </c>
      <c r="B98" s="9">
        <f t="shared" si="1"/>
        <v>0</v>
      </c>
    </row>
    <row r="99" ht="15.75" customHeight="1">
      <c r="A99" s="14" t="s">
        <v>346</v>
      </c>
      <c r="B99" s="9">
        <f t="shared" si="1"/>
        <v>0</v>
      </c>
    </row>
    <row r="100" ht="15.75" customHeight="1">
      <c r="A100" s="14" t="s">
        <v>348</v>
      </c>
      <c r="B100" s="9">
        <f t="shared" si="1"/>
        <v>0</v>
      </c>
    </row>
    <row r="101" ht="15.75" customHeight="1">
      <c r="A101" s="14" t="s">
        <v>350</v>
      </c>
      <c r="B101" s="9">
        <f t="shared" si="1"/>
        <v>0</v>
      </c>
    </row>
    <row r="102" ht="15.75" customHeight="1">
      <c r="A102" s="14" t="s">
        <v>353</v>
      </c>
      <c r="B102" s="9">
        <f t="shared" si="1"/>
        <v>0</v>
      </c>
    </row>
    <row r="103" ht="15.75" customHeight="1">
      <c r="A103" s="14" t="s">
        <v>356</v>
      </c>
      <c r="B103" s="9">
        <f t="shared" si="1"/>
        <v>0</v>
      </c>
    </row>
    <row r="104" ht="15.75" customHeight="1">
      <c r="A104" s="14" t="s">
        <v>366</v>
      </c>
      <c r="B104" s="9">
        <f t="shared" si="1"/>
        <v>0</v>
      </c>
    </row>
    <row r="105" ht="15.75" customHeight="1">
      <c r="A105" s="14" t="s">
        <v>370</v>
      </c>
      <c r="B105" s="9">
        <f t="shared" si="1"/>
        <v>0</v>
      </c>
    </row>
    <row r="106" ht="15.75" customHeight="1"/>
    <row r="107" ht="15.75" customHeight="1"/>
    <row r="108" ht="15.75" customHeight="1">
      <c r="A108" s="3" t="s">
        <v>151</v>
      </c>
      <c r="B108" s="3" t="s">
        <v>148</v>
      </c>
      <c r="C108" s="15" t="s">
        <v>405</v>
      </c>
      <c r="D108" s="15" t="s">
        <v>406</v>
      </c>
      <c r="E108" s="15" t="s">
        <v>407</v>
      </c>
    </row>
    <row r="109" ht="15.75" customHeight="1">
      <c r="A109" s="4">
        <v>1979.0</v>
      </c>
      <c r="B109" s="4" t="s">
        <v>157</v>
      </c>
      <c r="C109" s="16" t="str">
        <f t="shared" ref="C109:C171" si="2">IF(F3="Won",D3,"")</f>
        <v/>
      </c>
      <c r="D109" s="17" t="str">
        <f t="shared" ref="D109:D171" si="3">IF(F3="Lost",D3,"")</f>
        <v/>
      </c>
      <c r="E109" s="16">
        <f t="shared" ref="E109:E171" si="4">MATCH(A3,UNIQUE($A$3:$A995),0)</f>
        <v>1</v>
      </c>
    </row>
    <row r="110" ht="15.75" customHeight="1">
      <c r="A110" s="4">
        <v>1983.0</v>
      </c>
      <c r="B110" s="4" t="s">
        <v>157</v>
      </c>
      <c r="C110" s="16">
        <f t="shared" si="2"/>
        <v>1983</v>
      </c>
      <c r="D110" s="17" t="str">
        <f t="shared" si="3"/>
        <v/>
      </c>
      <c r="E110" s="16">
        <f t="shared" si="4"/>
        <v>1</v>
      </c>
    </row>
    <row r="111" ht="15.75" customHeight="1">
      <c r="A111" s="4">
        <v>1999.0</v>
      </c>
      <c r="B111" s="4" t="s">
        <v>157</v>
      </c>
      <c r="C111" s="16" t="str">
        <f t="shared" si="2"/>
        <v/>
      </c>
      <c r="D111" s="17" t="str">
        <f t="shared" si="3"/>
        <v/>
      </c>
      <c r="E111" s="16">
        <f t="shared" si="4"/>
        <v>1</v>
      </c>
    </row>
    <row r="112" ht="15.75" customHeight="1">
      <c r="A112" s="4">
        <v>2003.0</v>
      </c>
      <c r="B112" s="4" t="s">
        <v>157</v>
      </c>
      <c r="C112" s="16">
        <f t="shared" si="2"/>
        <v>2003</v>
      </c>
      <c r="D112" s="17" t="str">
        <f t="shared" si="3"/>
        <v/>
      </c>
      <c r="E112" s="16">
        <f t="shared" si="4"/>
        <v>1</v>
      </c>
    </row>
    <row r="113" ht="15.75" customHeight="1">
      <c r="A113" s="4">
        <v>2007.0</v>
      </c>
      <c r="B113" s="4" t="s">
        <v>157</v>
      </c>
      <c r="C113" s="16" t="str">
        <f t="shared" si="2"/>
        <v/>
      </c>
      <c r="D113" s="17" t="str">
        <f t="shared" si="3"/>
        <v/>
      </c>
      <c r="E113" s="16">
        <f t="shared" si="4"/>
        <v>1</v>
      </c>
    </row>
    <row r="114" ht="15.75" customHeight="1">
      <c r="A114" s="4">
        <v>2011.0</v>
      </c>
      <c r="B114" s="4" t="s">
        <v>157</v>
      </c>
      <c r="C114" s="16">
        <f t="shared" si="2"/>
        <v>2011</v>
      </c>
      <c r="D114" s="17" t="str">
        <f t="shared" si="3"/>
        <v/>
      </c>
      <c r="E114" s="16">
        <f t="shared" si="4"/>
        <v>1</v>
      </c>
    </row>
    <row r="115" ht="15.75" customHeight="1">
      <c r="A115" s="4">
        <v>2015.0</v>
      </c>
      <c r="B115" s="4" t="s">
        <v>157</v>
      </c>
      <c r="C115" s="16" t="str">
        <f t="shared" si="2"/>
        <v/>
      </c>
      <c r="D115" s="17">
        <f t="shared" si="3"/>
        <v>2015</v>
      </c>
      <c r="E115" s="16">
        <f t="shared" si="4"/>
        <v>1</v>
      </c>
    </row>
    <row r="116" ht="15.75" customHeight="1">
      <c r="A116" s="4">
        <v>2015.0</v>
      </c>
      <c r="B116" s="4" t="s">
        <v>157</v>
      </c>
      <c r="C116" s="16" t="str">
        <f t="shared" si="2"/>
        <v/>
      </c>
      <c r="D116" s="17" t="str">
        <f t="shared" si="3"/>
        <v/>
      </c>
      <c r="E116" s="16">
        <f t="shared" si="4"/>
        <v>1</v>
      </c>
    </row>
    <row r="117" ht="15.75" customHeight="1">
      <c r="A117" s="4">
        <v>2019.0</v>
      </c>
      <c r="B117" s="4" t="s">
        <v>157</v>
      </c>
      <c r="C117" s="16">
        <f t="shared" si="2"/>
        <v>2019</v>
      </c>
      <c r="D117" s="17" t="str">
        <f t="shared" si="3"/>
        <v/>
      </c>
      <c r="E117" s="16">
        <f t="shared" si="4"/>
        <v>1</v>
      </c>
    </row>
    <row r="118" ht="15.75" customHeight="1">
      <c r="A118" s="4">
        <v>2023.0</v>
      </c>
      <c r="B118" s="4" t="s">
        <v>157</v>
      </c>
      <c r="C118" s="16" t="str">
        <f t="shared" si="2"/>
        <v/>
      </c>
      <c r="D118" s="17" t="str">
        <f t="shared" si="3"/>
        <v/>
      </c>
      <c r="E118" s="16">
        <f t="shared" si="4"/>
        <v>1</v>
      </c>
    </row>
    <row r="119" ht="15.75" customHeight="1">
      <c r="A119" s="4">
        <v>2015.0</v>
      </c>
      <c r="B119" s="4" t="s">
        <v>218</v>
      </c>
      <c r="C119" s="16">
        <f t="shared" si="2"/>
        <v>2015</v>
      </c>
      <c r="D119" s="17" t="str">
        <f t="shared" si="3"/>
        <v/>
      </c>
      <c r="E119" s="16">
        <f t="shared" si="4"/>
        <v>2</v>
      </c>
    </row>
    <row r="120" ht="15.75" customHeight="1">
      <c r="A120" s="4">
        <v>2020.0</v>
      </c>
      <c r="B120" s="4" t="s">
        <v>218</v>
      </c>
      <c r="C120" s="16">
        <f t="shared" si="2"/>
        <v>2020</v>
      </c>
      <c r="D120" s="17" t="str">
        <f t="shared" si="3"/>
        <v/>
      </c>
      <c r="E120" s="16">
        <f t="shared" si="4"/>
        <v>2</v>
      </c>
    </row>
    <row r="121" ht="15.75" customHeight="1">
      <c r="A121" s="4">
        <v>2025.0</v>
      </c>
      <c r="B121" s="4" t="s">
        <v>218</v>
      </c>
      <c r="C121" s="16">
        <f t="shared" si="2"/>
        <v>2025</v>
      </c>
      <c r="D121" s="17" t="str">
        <f t="shared" si="3"/>
        <v/>
      </c>
      <c r="E121" s="16">
        <f t="shared" si="4"/>
        <v>2</v>
      </c>
    </row>
    <row r="122" ht="15.75" customHeight="1">
      <c r="A122" s="4">
        <v>2016.0</v>
      </c>
      <c r="B122" s="4" t="s">
        <v>231</v>
      </c>
      <c r="C122" s="16" t="str">
        <f t="shared" si="2"/>
        <v/>
      </c>
      <c r="D122" s="17">
        <f t="shared" si="3"/>
        <v>2016</v>
      </c>
      <c r="E122" s="16">
        <f t="shared" si="4"/>
        <v>3</v>
      </c>
    </row>
    <row r="123" ht="15.75" customHeight="1">
      <c r="A123" s="4">
        <v>2020.0</v>
      </c>
      <c r="B123" s="4" t="s">
        <v>231</v>
      </c>
      <c r="C123" s="16">
        <f t="shared" si="2"/>
        <v>2020</v>
      </c>
      <c r="D123" s="17" t="str">
        <f t="shared" si="3"/>
        <v/>
      </c>
      <c r="E123" s="16">
        <f t="shared" si="4"/>
        <v>3</v>
      </c>
    </row>
    <row r="124" ht="15.75" customHeight="1">
      <c r="A124" s="4">
        <v>2024.0</v>
      </c>
      <c r="B124" s="4" t="s">
        <v>231</v>
      </c>
      <c r="C124" s="16" t="str">
        <f t="shared" si="2"/>
        <v/>
      </c>
      <c r="D124" s="17" t="str">
        <f t="shared" si="3"/>
        <v/>
      </c>
      <c r="E124" s="16">
        <f t="shared" si="4"/>
        <v>3</v>
      </c>
    </row>
    <row r="125" ht="15.75" customHeight="1">
      <c r="A125" s="4">
        <v>1992.0</v>
      </c>
      <c r="B125" s="4" t="s">
        <v>243</v>
      </c>
      <c r="C125" s="16">
        <f t="shared" si="2"/>
        <v>1992</v>
      </c>
      <c r="D125" s="17" t="str">
        <f t="shared" si="3"/>
        <v/>
      </c>
      <c r="E125" s="16">
        <f t="shared" si="4"/>
        <v>4</v>
      </c>
    </row>
    <row r="126" ht="15.75" customHeight="1">
      <c r="A126" s="4">
        <v>1997.0</v>
      </c>
      <c r="B126" s="4" t="s">
        <v>243</v>
      </c>
      <c r="C126" s="16">
        <f t="shared" si="2"/>
        <v>1997</v>
      </c>
      <c r="D126" s="17" t="str">
        <f t="shared" si="3"/>
        <v/>
      </c>
      <c r="E126" s="16">
        <f t="shared" si="4"/>
        <v>4</v>
      </c>
    </row>
    <row r="127" ht="15.75" customHeight="1">
      <c r="A127" s="4">
        <v>2002.0</v>
      </c>
      <c r="B127" s="4" t="s">
        <v>243</v>
      </c>
      <c r="C127" s="16" t="str">
        <f t="shared" si="2"/>
        <v/>
      </c>
      <c r="D127" s="17" t="str">
        <f t="shared" si="3"/>
        <v/>
      </c>
      <c r="E127" s="16">
        <f t="shared" si="4"/>
        <v>4</v>
      </c>
    </row>
    <row r="128" ht="15.75" customHeight="1">
      <c r="A128" s="4">
        <v>2007.0</v>
      </c>
      <c r="B128" s="4" t="s">
        <v>243</v>
      </c>
      <c r="C128" s="16" t="str">
        <f t="shared" si="2"/>
        <v/>
      </c>
      <c r="D128" s="17" t="str">
        <f t="shared" si="3"/>
        <v/>
      </c>
      <c r="E128" s="16">
        <f t="shared" si="4"/>
        <v>4</v>
      </c>
    </row>
    <row r="129" ht="15.75" customHeight="1">
      <c r="A129" s="4">
        <v>2013.0</v>
      </c>
      <c r="B129" s="4" t="s">
        <v>243</v>
      </c>
      <c r="C129" s="16" t="str">
        <f t="shared" si="2"/>
        <v/>
      </c>
      <c r="D129" s="17" t="str">
        <f t="shared" si="3"/>
        <v/>
      </c>
      <c r="E129" s="16">
        <f t="shared" si="4"/>
        <v>4</v>
      </c>
    </row>
    <row r="130" ht="15.75" customHeight="1">
      <c r="A130" s="4">
        <v>2017.0</v>
      </c>
      <c r="B130" s="4" t="s">
        <v>243</v>
      </c>
      <c r="C130" s="16" t="str">
        <f t="shared" si="2"/>
        <v/>
      </c>
      <c r="D130" s="17" t="str">
        <f t="shared" si="3"/>
        <v/>
      </c>
      <c r="E130" s="16">
        <f t="shared" si="4"/>
        <v>4</v>
      </c>
    </row>
    <row r="131" ht="15.75" customHeight="1">
      <c r="A131" s="4">
        <v>2022.0</v>
      </c>
      <c r="B131" s="4" t="s">
        <v>243</v>
      </c>
      <c r="C131" s="16" t="str">
        <f t="shared" si="2"/>
        <v/>
      </c>
      <c r="D131" s="17" t="str">
        <f t="shared" si="3"/>
        <v/>
      </c>
      <c r="E131" s="16">
        <f t="shared" si="4"/>
        <v>4</v>
      </c>
    </row>
    <row r="132" ht="15.75" customHeight="1">
      <c r="A132" s="4">
        <v>1996.0</v>
      </c>
      <c r="B132" s="4" t="s">
        <v>269</v>
      </c>
      <c r="C132" s="16">
        <f t="shared" si="2"/>
        <v>1996</v>
      </c>
      <c r="D132" s="17" t="str">
        <f t="shared" si="3"/>
        <v/>
      </c>
      <c r="E132" s="16">
        <f t="shared" si="4"/>
        <v>5</v>
      </c>
    </row>
    <row r="133" ht="15.75" customHeight="1">
      <c r="A133" s="4">
        <v>2001.0</v>
      </c>
      <c r="B133" s="4" t="s">
        <v>269</v>
      </c>
      <c r="C133" s="16">
        <f t="shared" si="2"/>
        <v>2001</v>
      </c>
      <c r="D133" s="17" t="str">
        <f t="shared" si="3"/>
        <v/>
      </c>
      <c r="E133" s="16">
        <f t="shared" si="4"/>
        <v>5</v>
      </c>
    </row>
    <row r="134" ht="15.75" customHeight="1">
      <c r="A134" s="4">
        <v>2006.0</v>
      </c>
      <c r="B134" s="4" t="s">
        <v>269</v>
      </c>
      <c r="C134" s="16">
        <f t="shared" si="2"/>
        <v>2006</v>
      </c>
      <c r="D134" s="17" t="str">
        <f t="shared" si="3"/>
        <v/>
      </c>
      <c r="E134" s="16">
        <f t="shared" si="4"/>
        <v>5</v>
      </c>
    </row>
    <row r="135" ht="15.75" customHeight="1">
      <c r="A135" s="4">
        <v>2011.0</v>
      </c>
      <c r="B135" s="4" t="s">
        <v>269</v>
      </c>
      <c r="C135" s="16">
        <f t="shared" si="2"/>
        <v>2011</v>
      </c>
      <c r="D135" s="17" t="str">
        <f t="shared" si="3"/>
        <v/>
      </c>
      <c r="E135" s="16">
        <f t="shared" si="4"/>
        <v>5</v>
      </c>
    </row>
    <row r="136" ht="15.75" customHeight="1">
      <c r="A136" s="4">
        <v>2016.0</v>
      </c>
      <c r="B136" s="4" t="s">
        <v>269</v>
      </c>
      <c r="C136" s="16">
        <f t="shared" si="2"/>
        <v>2016</v>
      </c>
      <c r="D136" s="17" t="str">
        <f t="shared" si="3"/>
        <v/>
      </c>
      <c r="E136" s="16">
        <f t="shared" si="4"/>
        <v>5</v>
      </c>
    </row>
    <row r="137" ht="15.75" customHeight="1">
      <c r="A137" s="4">
        <v>2021.0</v>
      </c>
      <c r="B137" s="4" t="s">
        <v>269</v>
      </c>
      <c r="C137" s="16">
        <f t="shared" si="2"/>
        <v>2021</v>
      </c>
      <c r="D137" s="17" t="str">
        <f t="shared" si="3"/>
        <v/>
      </c>
      <c r="E137" s="16">
        <f t="shared" si="4"/>
        <v>5</v>
      </c>
    </row>
    <row r="138" ht="15.75" customHeight="1">
      <c r="A138" s="4">
        <v>2013.0</v>
      </c>
      <c r="B138" s="4" t="s">
        <v>285</v>
      </c>
      <c r="C138" s="16">
        <f t="shared" si="2"/>
        <v>2013</v>
      </c>
      <c r="D138" s="17" t="str">
        <f t="shared" si="3"/>
        <v/>
      </c>
      <c r="E138" s="16">
        <f t="shared" si="4"/>
        <v>6</v>
      </c>
    </row>
    <row r="139" ht="15.75" customHeight="1">
      <c r="A139" s="4">
        <v>2018.0</v>
      </c>
      <c r="B139" s="4" t="s">
        <v>285</v>
      </c>
      <c r="C139" s="16" t="str">
        <f t="shared" si="2"/>
        <v/>
      </c>
      <c r="D139" s="17" t="str">
        <f t="shared" si="3"/>
        <v/>
      </c>
      <c r="E139" s="16">
        <f t="shared" si="4"/>
        <v>6</v>
      </c>
    </row>
    <row r="140" ht="15.75" customHeight="1">
      <c r="A140" s="4">
        <v>2023.0</v>
      </c>
      <c r="B140" s="4" t="s">
        <v>285</v>
      </c>
      <c r="C140" s="16">
        <f t="shared" si="2"/>
        <v>2023</v>
      </c>
      <c r="D140" s="17" t="str">
        <f t="shared" si="3"/>
        <v/>
      </c>
      <c r="E140" s="16">
        <f t="shared" si="4"/>
        <v>6</v>
      </c>
    </row>
    <row r="141" ht="15.75" customHeight="1">
      <c r="A141" s="4">
        <v>2018.0</v>
      </c>
      <c r="B141" s="4" t="s">
        <v>297</v>
      </c>
      <c r="C141" s="16">
        <f t="shared" si="2"/>
        <v>2018</v>
      </c>
      <c r="D141" s="17" t="str">
        <f t="shared" si="3"/>
        <v/>
      </c>
      <c r="E141" s="16">
        <f t="shared" si="4"/>
        <v>7</v>
      </c>
    </row>
    <row r="142" ht="15.75" customHeight="1">
      <c r="A142" s="4">
        <v>2023.0</v>
      </c>
      <c r="B142" s="4" t="s">
        <v>297</v>
      </c>
      <c r="C142" s="16">
        <f t="shared" si="2"/>
        <v>2023</v>
      </c>
      <c r="D142" s="17" t="str">
        <f t="shared" si="3"/>
        <v/>
      </c>
      <c r="E142" s="16">
        <f t="shared" si="4"/>
        <v>7</v>
      </c>
    </row>
    <row r="143" ht="15.75" customHeight="1">
      <c r="A143" s="4">
        <v>2018.0</v>
      </c>
      <c r="B143" s="4" t="s">
        <v>306</v>
      </c>
      <c r="C143" s="16">
        <f t="shared" si="2"/>
        <v>2018</v>
      </c>
      <c r="D143" s="17" t="str">
        <f t="shared" si="3"/>
        <v/>
      </c>
      <c r="E143" s="16">
        <f t="shared" si="4"/>
        <v>8</v>
      </c>
    </row>
    <row r="144" ht="15.75" customHeight="1">
      <c r="A144" s="4">
        <v>2025.0</v>
      </c>
      <c r="B144" s="4" t="s">
        <v>306</v>
      </c>
      <c r="C144" s="16">
        <f t="shared" si="2"/>
        <v>2025</v>
      </c>
      <c r="D144" s="17" t="str">
        <f t="shared" si="3"/>
        <v/>
      </c>
      <c r="E144" s="16">
        <f t="shared" si="4"/>
        <v>8</v>
      </c>
    </row>
    <row r="145" ht="15.75" customHeight="1">
      <c r="A145" s="4">
        <v>2003.0</v>
      </c>
      <c r="B145" s="4" t="s">
        <v>316</v>
      </c>
      <c r="C145" s="16">
        <f t="shared" si="2"/>
        <v>2003</v>
      </c>
      <c r="D145" s="17" t="str">
        <f t="shared" si="3"/>
        <v/>
      </c>
      <c r="E145" s="16">
        <f t="shared" si="4"/>
        <v>9</v>
      </c>
    </row>
    <row r="146" ht="15.75" customHeight="1">
      <c r="A146" s="4">
        <v>2010.0</v>
      </c>
      <c r="B146" s="4" t="s">
        <v>316</v>
      </c>
      <c r="C146" s="16">
        <f t="shared" si="2"/>
        <v>2010</v>
      </c>
      <c r="D146" s="17" t="str">
        <f t="shared" si="3"/>
        <v/>
      </c>
      <c r="E146" s="16">
        <f t="shared" si="4"/>
        <v>9</v>
      </c>
    </row>
    <row r="147" ht="15.75" customHeight="1">
      <c r="A147" s="4">
        <v>2017.0</v>
      </c>
      <c r="B147" s="4" t="s">
        <v>316</v>
      </c>
      <c r="C147" s="16">
        <f t="shared" si="2"/>
        <v>2017</v>
      </c>
      <c r="D147" s="17" t="str">
        <f t="shared" si="3"/>
        <v/>
      </c>
      <c r="E147" s="16">
        <f t="shared" si="4"/>
        <v>9</v>
      </c>
    </row>
    <row r="148" ht="15.75" customHeight="1">
      <c r="A148" s="4">
        <v>2024.0</v>
      </c>
      <c r="B148" s="4" t="s">
        <v>316</v>
      </c>
      <c r="C148" s="16">
        <f t="shared" si="2"/>
        <v>2024</v>
      </c>
      <c r="D148" s="17" t="str">
        <f t="shared" si="3"/>
        <v/>
      </c>
      <c r="E148" s="16">
        <f t="shared" si="4"/>
        <v>9</v>
      </c>
    </row>
    <row r="149" ht="15.75" customHeight="1">
      <c r="A149" s="4">
        <v>1800.0</v>
      </c>
      <c r="B149" s="4" t="s">
        <v>331</v>
      </c>
      <c r="C149" s="16" t="str">
        <f t="shared" si="2"/>
        <v/>
      </c>
      <c r="D149" s="17">
        <f t="shared" si="3"/>
        <v>1800</v>
      </c>
      <c r="E149" s="16">
        <f t="shared" si="4"/>
        <v>10</v>
      </c>
    </row>
    <row r="150" ht="15.75" customHeight="1">
      <c r="A150" s="4">
        <v>1828.0</v>
      </c>
      <c r="B150" s="4" t="s">
        <v>331</v>
      </c>
      <c r="C150" s="16" t="str">
        <f t="shared" si="2"/>
        <v/>
      </c>
      <c r="D150" s="17">
        <f t="shared" si="3"/>
        <v>1828</v>
      </c>
      <c r="E150" s="16">
        <f t="shared" si="4"/>
        <v>10</v>
      </c>
    </row>
    <row r="151" ht="15.75" customHeight="1">
      <c r="A151" s="4">
        <v>1840.0</v>
      </c>
      <c r="B151" s="4" t="s">
        <v>331</v>
      </c>
      <c r="C151" s="16" t="str">
        <f t="shared" si="2"/>
        <v/>
      </c>
      <c r="D151" s="17">
        <f t="shared" si="3"/>
        <v>1840</v>
      </c>
      <c r="E151" s="16">
        <f t="shared" si="4"/>
        <v>10</v>
      </c>
    </row>
    <row r="152" ht="15.75" customHeight="1">
      <c r="A152" s="4">
        <v>1888.0</v>
      </c>
      <c r="B152" s="4" t="s">
        <v>331</v>
      </c>
      <c r="C152" s="16" t="str">
        <f t="shared" si="2"/>
        <v/>
      </c>
      <c r="D152" s="17">
        <f t="shared" si="3"/>
        <v>1888</v>
      </c>
      <c r="E152" s="16">
        <f t="shared" si="4"/>
        <v>10</v>
      </c>
    </row>
    <row r="153" ht="15.75" customHeight="1">
      <c r="A153" s="4">
        <v>1892.0</v>
      </c>
      <c r="B153" s="4" t="s">
        <v>331</v>
      </c>
      <c r="C153" s="16" t="str">
        <f t="shared" si="2"/>
        <v/>
      </c>
      <c r="D153" s="17">
        <f t="shared" si="3"/>
        <v>1892</v>
      </c>
      <c r="E153" s="16">
        <f t="shared" si="4"/>
        <v>10</v>
      </c>
    </row>
    <row r="154" ht="15.75" customHeight="1">
      <c r="A154" s="4">
        <v>1912.0</v>
      </c>
      <c r="B154" s="4" t="s">
        <v>331</v>
      </c>
      <c r="C154" s="16" t="str">
        <f t="shared" si="2"/>
        <v/>
      </c>
      <c r="D154" s="17">
        <f t="shared" si="3"/>
        <v>1912</v>
      </c>
      <c r="E154" s="16">
        <f t="shared" si="4"/>
        <v>10</v>
      </c>
    </row>
    <row r="155" ht="15.75" customHeight="1">
      <c r="A155" s="4">
        <v>1932.0</v>
      </c>
      <c r="B155" s="4" t="s">
        <v>331</v>
      </c>
      <c r="C155" s="16" t="str">
        <f t="shared" si="2"/>
        <v/>
      </c>
      <c r="D155" s="17">
        <f t="shared" si="3"/>
        <v>1932</v>
      </c>
      <c r="E155" s="16">
        <f t="shared" si="4"/>
        <v>10</v>
      </c>
    </row>
    <row r="156" ht="15.75" customHeight="1">
      <c r="A156" s="4">
        <v>1976.0</v>
      </c>
      <c r="B156" s="4" t="s">
        <v>331</v>
      </c>
      <c r="C156" s="16" t="str">
        <f t="shared" si="2"/>
        <v/>
      </c>
      <c r="D156" s="17">
        <f t="shared" si="3"/>
        <v>1976</v>
      </c>
      <c r="E156" s="16">
        <f t="shared" si="4"/>
        <v>10</v>
      </c>
    </row>
    <row r="157" ht="15.75" customHeight="1">
      <c r="A157" s="4">
        <v>1980.0</v>
      </c>
      <c r="B157" s="4" t="s">
        <v>331</v>
      </c>
      <c r="C157" s="16" t="str">
        <f t="shared" si="2"/>
        <v/>
      </c>
      <c r="D157" s="17">
        <f t="shared" si="3"/>
        <v>1980</v>
      </c>
      <c r="E157" s="16">
        <f t="shared" si="4"/>
        <v>10</v>
      </c>
    </row>
    <row r="158" ht="15.75" customHeight="1">
      <c r="A158" s="4">
        <v>1992.0</v>
      </c>
      <c r="B158" s="4" t="s">
        <v>331</v>
      </c>
      <c r="C158" s="16" t="str">
        <f t="shared" si="2"/>
        <v/>
      </c>
      <c r="D158" s="17">
        <f t="shared" si="3"/>
        <v>1992</v>
      </c>
      <c r="E158" s="16">
        <f t="shared" si="4"/>
        <v>10</v>
      </c>
    </row>
    <row r="159" ht="15.75" customHeight="1">
      <c r="A159" s="4">
        <v>1996.0</v>
      </c>
      <c r="B159" s="4" t="s">
        <v>331</v>
      </c>
      <c r="C159" s="16">
        <f t="shared" si="2"/>
        <v>1996</v>
      </c>
      <c r="D159" s="17" t="str">
        <f t="shared" si="3"/>
        <v/>
      </c>
      <c r="E159" s="16">
        <f t="shared" si="4"/>
        <v>10</v>
      </c>
    </row>
    <row r="160" ht="15.75" customHeight="1">
      <c r="A160" s="4">
        <v>2004.0</v>
      </c>
      <c r="B160" s="4" t="s">
        <v>331</v>
      </c>
      <c r="C160" s="16">
        <f t="shared" si="2"/>
        <v>2004</v>
      </c>
      <c r="D160" s="17" t="str">
        <f t="shared" si="3"/>
        <v/>
      </c>
      <c r="E160" s="16">
        <f t="shared" si="4"/>
        <v>10</v>
      </c>
    </row>
    <row r="161" ht="15.75" customHeight="1">
      <c r="A161" s="4">
        <v>2012.0</v>
      </c>
      <c r="B161" s="4" t="s">
        <v>331</v>
      </c>
      <c r="C161" s="16">
        <f t="shared" si="2"/>
        <v>2012</v>
      </c>
      <c r="D161" s="17" t="str">
        <f t="shared" si="3"/>
        <v/>
      </c>
      <c r="E161" s="16">
        <f t="shared" si="4"/>
        <v>10</v>
      </c>
    </row>
    <row r="162" ht="15.75" customHeight="1">
      <c r="A162" s="4">
        <v>2020.0</v>
      </c>
      <c r="B162" s="4" t="s">
        <v>331</v>
      </c>
      <c r="C162" s="16" t="str">
        <f t="shared" si="2"/>
        <v/>
      </c>
      <c r="D162" s="17">
        <f t="shared" si="3"/>
        <v>2020</v>
      </c>
      <c r="E162" s="16">
        <f t="shared" si="4"/>
        <v>10</v>
      </c>
    </row>
    <row r="163" ht="15.75" customHeight="1">
      <c r="A163" s="4">
        <v>2024.0</v>
      </c>
      <c r="B163" s="4" t="s">
        <v>331</v>
      </c>
      <c r="C163" s="16" t="str">
        <f t="shared" si="2"/>
        <v/>
      </c>
      <c r="D163" s="17" t="str">
        <f t="shared" si="3"/>
        <v/>
      </c>
      <c r="E163" s="16">
        <f t="shared" si="4"/>
        <v>10</v>
      </c>
    </row>
    <row r="164" ht="15.75" customHeight="1">
      <c r="A164" s="4">
        <v>1996.0</v>
      </c>
      <c r="B164" s="4" t="s">
        <v>374</v>
      </c>
      <c r="C164" s="16">
        <f t="shared" si="2"/>
        <v>1996</v>
      </c>
      <c r="D164" s="17" t="str">
        <f t="shared" si="3"/>
        <v/>
      </c>
      <c r="E164" s="16">
        <f t="shared" si="4"/>
        <v>11</v>
      </c>
    </row>
    <row r="165" ht="15.75" customHeight="1">
      <c r="A165" s="4">
        <v>2004.0</v>
      </c>
      <c r="B165" s="4" t="s">
        <v>374</v>
      </c>
      <c r="C165" s="16">
        <f t="shared" si="2"/>
        <v>2004</v>
      </c>
      <c r="D165" s="17" t="str">
        <f t="shared" si="3"/>
        <v/>
      </c>
      <c r="E165" s="16">
        <f t="shared" si="4"/>
        <v>11</v>
      </c>
    </row>
    <row r="166" ht="15.75" customHeight="1">
      <c r="A166" s="4">
        <v>2012.0</v>
      </c>
      <c r="B166" s="4" t="s">
        <v>374</v>
      </c>
      <c r="C166" s="16">
        <f t="shared" si="2"/>
        <v>2012</v>
      </c>
      <c r="D166" s="17" t="str">
        <f t="shared" si="3"/>
        <v/>
      </c>
      <c r="E166" s="16">
        <f t="shared" si="4"/>
        <v>11</v>
      </c>
    </row>
    <row r="167" ht="15.75" customHeight="1">
      <c r="A167" s="4">
        <v>2018.0</v>
      </c>
      <c r="B167" s="4" t="s">
        <v>374</v>
      </c>
      <c r="C167" s="16">
        <f t="shared" si="2"/>
        <v>2018</v>
      </c>
      <c r="D167" s="17" t="str">
        <f t="shared" si="3"/>
        <v/>
      </c>
      <c r="E167" s="16">
        <f t="shared" si="4"/>
        <v>11</v>
      </c>
    </row>
    <row r="168" ht="15.75" customHeight="1">
      <c r="A168" s="4">
        <v>2024.0</v>
      </c>
      <c r="B168" s="4" t="s">
        <v>374</v>
      </c>
      <c r="C168" s="16">
        <f t="shared" si="2"/>
        <v>2024</v>
      </c>
      <c r="D168" s="17" t="str">
        <f t="shared" si="3"/>
        <v/>
      </c>
      <c r="E168" s="16">
        <f t="shared" si="4"/>
        <v>11</v>
      </c>
    </row>
    <row r="169" ht="15.75" customHeight="1">
      <c r="A169" s="4">
        <v>2012.0</v>
      </c>
      <c r="B169" s="4" t="s">
        <v>392</v>
      </c>
      <c r="C169" s="16">
        <f t="shared" si="2"/>
        <v>2012</v>
      </c>
      <c r="D169" s="17" t="str">
        <f t="shared" si="3"/>
        <v/>
      </c>
      <c r="E169" s="16">
        <f t="shared" si="4"/>
        <v>12</v>
      </c>
    </row>
    <row r="170" ht="15.75" customHeight="1">
      <c r="A170" s="4">
        <v>2018.0</v>
      </c>
      <c r="B170" s="4" t="s">
        <v>392</v>
      </c>
      <c r="C170" s="16">
        <f t="shared" si="2"/>
        <v>2018</v>
      </c>
      <c r="D170" s="17" t="str">
        <f t="shared" si="3"/>
        <v/>
      </c>
      <c r="E170" s="16">
        <f t="shared" si="4"/>
        <v>12</v>
      </c>
    </row>
    <row r="171" ht="15.75" customHeight="1">
      <c r="A171" s="4">
        <v>2024.0</v>
      </c>
      <c r="B171" s="4" t="s">
        <v>392</v>
      </c>
      <c r="C171" s="16" t="str">
        <f t="shared" si="2"/>
        <v/>
      </c>
      <c r="D171" s="17" t="str">
        <f t="shared" si="3"/>
        <v/>
      </c>
      <c r="E171" s="16">
        <f t="shared" si="4"/>
        <v>12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32.0"/>
    <col customWidth="1" min="3" max="3" width="34.0"/>
    <col customWidth="1" min="4" max="4" width="14.0"/>
    <col customWidth="1" min="5" max="5" width="16.0"/>
    <col customWidth="1" min="6" max="6" width="10.0"/>
    <col customWidth="1" min="7" max="26" width="8.71"/>
  </cols>
  <sheetData>
    <row r="1">
      <c r="A1" s="1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4">
        <v>1.0</v>
      </c>
      <c r="B3" s="4" t="s">
        <v>8</v>
      </c>
      <c r="C3" s="4" t="s">
        <v>9</v>
      </c>
      <c r="D3" s="4">
        <v>1.5424921E7</v>
      </c>
      <c r="E3" s="4" t="s">
        <v>11</v>
      </c>
      <c r="F3" s="4" t="s">
        <v>12</v>
      </c>
    </row>
    <row r="4">
      <c r="A4" s="4">
        <v>2.0</v>
      </c>
      <c r="B4" s="4" t="s">
        <v>14</v>
      </c>
      <c r="C4" s="4" t="s">
        <v>15</v>
      </c>
      <c r="D4" s="4">
        <v>1.2853162E7</v>
      </c>
      <c r="E4" s="4" t="s">
        <v>16</v>
      </c>
      <c r="F4" s="4" t="s">
        <v>18</v>
      </c>
    </row>
    <row r="5">
      <c r="A5" s="4">
        <v>3.0</v>
      </c>
      <c r="B5" s="4" t="s">
        <v>19</v>
      </c>
      <c r="C5" s="4" t="s">
        <v>21</v>
      </c>
      <c r="D5" s="4">
        <v>53537.0</v>
      </c>
      <c r="E5" s="4" t="s">
        <v>23</v>
      </c>
      <c r="F5" s="4" t="s">
        <v>18</v>
      </c>
    </row>
    <row r="6">
      <c r="A6" s="4">
        <v>4.0</v>
      </c>
      <c r="B6" s="4" t="s">
        <v>25</v>
      </c>
      <c r="C6" s="4" t="s">
        <v>26</v>
      </c>
      <c r="D6" s="4">
        <v>40311.0</v>
      </c>
      <c r="E6" s="4" t="s">
        <v>29</v>
      </c>
      <c r="F6" s="4" t="s">
        <v>18</v>
      </c>
    </row>
    <row r="7">
      <c r="A7" s="4">
        <v>5.0</v>
      </c>
      <c r="B7" s="4" t="s">
        <v>31</v>
      </c>
      <c r="C7" s="4" t="s">
        <v>32</v>
      </c>
      <c r="D7" s="4">
        <v>36300.0</v>
      </c>
      <c r="E7" s="4" t="s">
        <v>34</v>
      </c>
      <c r="F7" s="4" t="s">
        <v>18</v>
      </c>
    </row>
    <row r="8">
      <c r="A8" s="4">
        <v>6.0</v>
      </c>
      <c r="B8" s="4" t="s">
        <v>37</v>
      </c>
      <c r="C8" s="4" t="s">
        <v>38</v>
      </c>
      <c r="D8" s="4">
        <v>30673.0</v>
      </c>
      <c r="E8" s="4" t="s">
        <v>39</v>
      </c>
      <c r="F8" s="4" t="s">
        <v>18</v>
      </c>
    </row>
    <row r="9">
      <c r="A9" s="4">
        <v>7.0</v>
      </c>
      <c r="B9" s="4" t="s">
        <v>41</v>
      </c>
      <c r="C9" s="4" t="s">
        <v>43</v>
      </c>
      <c r="D9" s="4">
        <v>29666.0</v>
      </c>
      <c r="E9" s="4" t="s">
        <v>44</v>
      </c>
      <c r="F9" s="4" t="s">
        <v>18</v>
      </c>
    </row>
    <row r="10">
      <c r="A10" s="4">
        <v>8.0</v>
      </c>
      <c r="B10" s="4" t="s">
        <v>47</v>
      </c>
      <c r="C10" s="4" t="s">
        <v>49</v>
      </c>
      <c r="D10" s="4">
        <v>24475.0</v>
      </c>
      <c r="E10" s="4" t="s">
        <v>51</v>
      </c>
      <c r="F10" s="4" t="s">
        <v>18</v>
      </c>
    </row>
    <row r="11">
      <c r="A11" s="4">
        <v>9.0</v>
      </c>
      <c r="B11" s="4" t="s">
        <v>52</v>
      </c>
      <c r="C11" s="4" t="s">
        <v>54</v>
      </c>
      <c r="D11" s="4">
        <v>24455.0</v>
      </c>
      <c r="E11" s="4" t="s">
        <v>51</v>
      </c>
      <c r="F11" s="4" t="s">
        <v>18</v>
      </c>
    </row>
    <row r="12">
      <c r="A12" s="4">
        <v>10.0</v>
      </c>
      <c r="B12" s="4" t="s">
        <v>56</v>
      </c>
      <c r="C12" s="4" t="s">
        <v>57</v>
      </c>
      <c r="D12" s="4">
        <v>22125.0</v>
      </c>
      <c r="E12" s="4" t="s">
        <v>59</v>
      </c>
      <c r="F12" s="4" t="s">
        <v>18</v>
      </c>
    </row>
    <row r="13">
      <c r="A13" s="4">
        <v>11.0</v>
      </c>
      <c r="B13" s="4" t="s">
        <v>60</v>
      </c>
      <c r="C13" s="4" t="s">
        <v>62</v>
      </c>
      <c r="D13" s="4">
        <v>18220.0</v>
      </c>
      <c r="E13" s="4" t="s">
        <v>64</v>
      </c>
      <c r="F13" s="4" t="s">
        <v>18</v>
      </c>
    </row>
    <row r="14">
      <c r="A14" s="4">
        <v>12.0</v>
      </c>
      <c r="B14" s="4" t="s">
        <v>65</v>
      </c>
      <c r="C14" s="4" t="s">
        <v>66</v>
      </c>
      <c r="D14" s="4">
        <v>13076.0</v>
      </c>
      <c r="E14" s="4" t="s">
        <v>69</v>
      </c>
      <c r="F14" s="4" t="s">
        <v>18</v>
      </c>
    </row>
    <row r="15">
      <c r="A15" s="4">
        <v>13.0</v>
      </c>
      <c r="B15" s="4" t="s">
        <v>72</v>
      </c>
      <c r="C15" s="4" t="s">
        <v>73</v>
      </c>
      <c r="D15" s="4">
        <v>9208.0</v>
      </c>
      <c r="E15" s="4" t="s">
        <v>74</v>
      </c>
      <c r="F15" s="4" t="s">
        <v>18</v>
      </c>
    </row>
    <row r="16">
      <c r="A16" s="4">
        <v>14.0</v>
      </c>
      <c r="B16" s="4" t="s">
        <v>77</v>
      </c>
      <c r="C16" s="4" t="s">
        <v>78</v>
      </c>
      <c r="D16" s="4">
        <v>7435.0</v>
      </c>
      <c r="E16" s="4" t="s">
        <v>74</v>
      </c>
      <c r="F16" s="4" t="s">
        <v>18</v>
      </c>
    </row>
    <row r="17">
      <c r="A17" s="6"/>
      <c r="B17" s="6" t="s">
        <v>81</v>
      </c>
      <c r="C17" s="6"/>
      <c r="D17" s="6">
        <v>2.8587564E7</v>
      </c>
      <c r="E17" s="6"/>
      <c r="F17" s="6"/>
    </row>
    <row r="19" ht="15.75" customHeight="1">
      <c r="A19" s="1" t="s">
        <v>84</v>
      </c>
    </row>
    <row r="20" ht="15.75" customHeight="1">
      <c r="A20" s="3" t="s">
        <v>86</v>
      </c>
      <c r="B20" s="3" t="s">
        <v>88</v>
      </c>
      <c r="C20" s="3" t="s">
        <v>89</v>
      </c>
      <c r="D20" s="3" t="s">
        <v>90</v>
      </c>
    </row>
    <row r="21" ht="15.75" customHeight="1">
      <c r="A21" s="4" t="s">
        <v>92</v>
      </c>
      <c r="B21" s="4">
        <v>3.174649E7</v>
      </c>
      <c r="C21" s="4" t="s">
        <v>94</v>
      </c>
      <c r="D21" s="4" t="s">
        <v>95</v>
      </c>
    </row>
    <row r="22" ht="15.75" customHeight="1">
      <c r="A22" s="4" t="s">
        <v>96</v>
      </c>
      <c r="B22" s="4">
        <v>2.9432083E7</v>
      </c>
      <c r="C22" s="4" t="s">
        <v>98</v>
      </c>
      <c r="D22" s="4" t="s">
        <v>99</v>
      </c>
    </row>
    <row r="23" ht="15.75" customHeight="1">
      <c r="A23" s="4" t="s">
        <v>100</v>
      </c>
      <c r="B23" s="4">
        <v>2.8587564E7</v>
      </c>
      <c r="C23" s="4" t="s">
        <v>102</v>
      </c>
      <c r="D23" s="4" t="s">
        <v>103</v>
      </c>
    </row>
    <row r="24" ht="15.75" customHeight="1">
      <c r="A24" s="4" t="s">
        <v>104</v>
      </c>
      <c r="B24" s="4">
        <v>844519.0</v>
      </c>
      <c r="C24" s="4" t="s">
        <v>105</v>
      </c>
      <c r="D24" s="4" t="s">
        <v>106</v>
      </c>
    </row>
    <row r="25" ht="15.75" customHeight="1">
      <c r="A25" s="4" t="s">
        <v>108</v>
      </c>
      <c r="B25" s="4">
        <v>3.1711128E7</v>
      </c>
      <c r="C25" s="4" t="s">
        <v>111</v>
      </c>
      <c r="D25" s="4" t="s">
        <v>113</v>
      </c>
    </row>
    <row r="26" ht="15.75" customHeight="1">
      <c r="A26" s="4" t="s">
        <v>114</v>
      </c>
      <c r="B26" s="4">
        <v>2.9405649E7</v>
      </c>
      <c r="C26" s="4" t="s">
        <v>117</v>
      </c>
      <c r="D26" s="4" t="s">
        <v>118</v>
      </c>
    </row>
    <row r="27" ht="15.75" customHeight="1">
      <c r="A27" s="3" t="s">
        <v>86</v>
      </c>
      <c r="B27" s="3" t="s">
        <v>88</v>
      </c>
      <c r="C27" s="3" t="s">
        <v>121</v>
      </c>
    </row>
    <row r="28" ht="15.75" customHeight="1">
      <c r="A28" s="4" t="s">
        <v>122</v>
      </c>
      <c r="B28" s="4">
        <v>6.8833476E7</v>
      </c>
      <c r="C28" s="4" t="s">
        <v>125</v>
      </c>
    </row>
    <row r="29" ht="15.75" customHeight="1">
      <c r="A29" s="4" t="s">
        <v>127</v>
      </c>
      <c r="B29" s="4">
        <v>6.7422005E7</v>
      </c>
      <c r="C29" s="4" t="s">
        <v>130</v>
      </c>
    </row>
    <row r="30" ht="15.75" customHeight="1">
      <c r="A30" s="4" t="s">
        <v>131</v>
      </c>
      <c r="B30" s="4">
        <v>14.0</v>
      </c>
      <c r="C30" s="4" t="s">
        <v>133</v>
      </c>
    </row>
    <row r="31" ht="15.75" customHeight="1">
      <c r="A31" s="4" t="s">
        <v>135</v>
      </c>
      <c r="B31" s="4">
        <v>28.0</v>
      </c>
      <c r="C31" s="4" t="s">
        <v>136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19:D19"/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57"/>
    <col customWidth="1" min="2" max="2" width="16.0"/>
    <col customWidth="1" min="3" max="3" width="20.0"/>
    <col customWidth="1" min="4" max="4" width="30.71"/>
    <col customWidth="1" min="5" max="26" width="8.71"/>
  </cols>
  <sheetData>
    <row r="1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>
      <c r="A2" s="4">
        <v>1.0</v>
      </c>
      <c r="B2" s="4" t="s">
        <v>7</v>
      </c>
      <c r="C2" s="4" t="s">
        <v>9</v>
      </c>
      <c r="D2" s="4">
        <v>8794726.0</v>
      </c>
      <c r="E2" s="4" t="s">
        <v>10</v>
      </c>
      <c r="F2" s="4" t="s">
        <v>12</v>
      </c>
    </row>
    <row r="3">
      <c r="A3" s="4">
        <v>2.0</v>
      </c>
      <c r="B3" s="4" t="s">
        <v>13</v>
      </c>
      <c r="C3" s="4" t="s">
        <v>15</v>
      </c>
      <c r="D3" s="4">
        <v>6984520.0</v>
      </c>
      <c r="E3" s="4" t="s">
        <v>17</v>
      </c>
      <c r="F3" s="4" t="s">
        <v>18</v>
      </c>
    </row>
    <row r="4">
      <c r="A4" s="4">
        <v>3.0</v>
      </c>
      <c r="B4" s="4" t="s">
        <v>20</v>
      </c>
      <c r="C4" s="4" t="s">
        <v>22</v>
      </c>
      <c r="D4" s="4">
        <v>6101533.0</v>
      </c>
      <c r="E4" s="4" t="s">
        <v>24</v>
      </c>
      <c r="F4" s="4" t="s">
        <v>18</v>
      </c>
    </row>
    <row r="5">
      <c r="A5" s="4">
        <v>4.0</v>
      </c>
      <c r="B5" s="4" t="s">
        <v>27</v>
      </c>
      <c r="C5" s="4" t="s">
        <v>28</v>
      </c>
      <c r="D5" s="4">
        <v>1496687.0</v>
      </c>
      <c r="E5" s="4" t="s">
        <v>30</v>
      </c>
      <c r="F5" s="4" t="s">
        <v>18</v>
      </c>
    </row>
    <row r="6">
      <c r="A6" s="4">
        <v>5.0</v>
      </c>
      <c r="B6" s="4" t="s">
        <v>33</v>
      </c>
      <c r="C6" s="4" t="s">
        <v>35</v>
      </c>
      <c r="D6" s="5" t="s">
        <v>36</v>
      </c>
      <c r="E6" s="4" t="s">
        <v>36</v>
      </c>
      <c r="F6" s="4" t="s">
        <v>18</v>
      </c>
    </row>
    <row r="7">
      <c r="A7" s="4">
        <v>6.0</v>
      </c>
      <c r="B7" s="4" t="s">
        <v>40</v>
      </c>
      <c r="C7" s="4" t="s">
        <v>42</v>
      </c>
      <c r="D7" s="5" t="s">
        <v>36</v>
      </c>
      <c r="E7" s="4" t="s">
        <v>36</v>
      </c>
      <c r="F7" s="4" t="s">
        <v>18</v>
      </c>
    </row>
    <row r="8">
      <c r="A8" s="4">
        <v>7.0</v>
      </c>
      <c r="B8" s="4" t="s">
        <v>45</v>
      </c>
      <c r="C8" s="4" t="s">
        <v>46</v>
      </c>
      <c r="D8" s="5" t="s">
        <v>36</v>
      </c>
      <c r="E8" s="4" t="s">
        <v>36</v>
      </c>
      <c r="F8" s="4" t="s">
        <v>18</v>
      </c>
    </row>
    <row r="9">
      <c r="A9" s="4">
        <v>8.0</v>
      </c>
      <c r="B9" s="4" t="s">
        <v>48</v>
      </c>
      <c r="C9" s="4" t="s">
        <v>50</v>
      </c>
      <c r="D9" s="5" t="s">
        <v>36</v>
      </c>
      <c r="E9" s="4" t="s">
        <v>36</v>
      </c>
      <c r="F9" s="4" t="s">
        <v>18</v>
      </c>
    </row>
    <row r="10">
      <c r="A10" s="4">
        <v>9.0</v>
      </c>
      <c r="B10" s="4" t="s">
        <v>53</v>
      </c>
      <c r="C10" s="4" t="s">
        <v>55</v>
      </c>
      <c r="D10" s="5" t="s">
        <v>36</v>
      </c>
      <c r="E10" s="4" t="s">
        <v>36</v>
      </c>
      <c r="F10" s="4" t="s">
        <v>18</v>
      </c>
    </row>
    <row r="11">
      <c r="A11" s="4">
        <v>10.0</v>
      </c>
      <c r="B11" s="4" t="s">
        <v>58</v>
      </c>
      <c r="C11" s="4" t="s">
        <v>43</v>
      </c>
      <c r="D11" s="5" t="s">
        <v>36</v>
      </c>
      <c r="E11" s="4" t="s">
        <v>36</v>
      </c>
      <c r="F11" s="4" t="s">
        <v>18</v>
      </c>
    </row>
    <row r="12">
      <c r="A12" s="4">
        <v>11.0</v>
      </c>
      <c r="B12" s="4" t="s">
        <v>61</v>
      </c>
      <c r="C12" s="4" t="s">
        <v>63</v>
      </c>
      <c r="D12" s="5" t="s">
        <v>36</v>
      </c>
      <c r="E12" s="4" t="s">
        <v>36</v>
      </c>
      <c r="F12" s="4" t="s">
        <v>18</v>
      </c>
    </row>
    <row r="13">
      <c r="A13" s="4">
        <v>12.0</v>
      </c>
      <c r="B13" s="4" t="s">
        <v>67</v>
      </c>
      <c r="C13" s="4" t="s">
        <v>68</v>
      </c>
      <c r="D13" s="5" t="s">
        <v>36</v>
      </c>
      <c r="E13" s="4" t="s">
        <v>36</v>
      </c>
      <c r="F13" s="4" t="s">
        <v>18</v>
      </c>
    </row>
    <row r="14">
      <c r="A14" s="4">
        <v>13.0</v>
      </c>
      <c r="B14" s="4" t="s">
        <v>70</v>
      </c>
      <c r="C14" s="4" t="s">
        <v>71</v>
      </c>
      <c r="D14" s="5" t="s">
        <v>36</v>
      </c>
      <c r="E14" s="4" t="s">
        <v>36</v>
      </c>
      <c r="F14" s="4" t="s">
        <v>18</v>
      </c>
    </row>
    <row r="15">
      <c r="A15" s="4">
        <v>14.0</v>
      </c>
      <c r="B15" s="4" t="s">
        <v>75</v>
      </c>
      <c r="C15" s="4" t="s">
        <v>76</v>
      </c>
      <c r="D15" s="5" t="s">
        <v>36</v>
      </c>
      <c r="E15" s="4" t="s">
        <v>36</v>
      </c>
      <c r="F15" s="4" t="s">
        <v>18</v>
      </c>
    </row>
    <row r="16">
      <c r="A16" s="4">
        <v>15.0</v>
      </c>
      <c r="B16" s="4" t="s">
        <v>79</v>
      </c>
      <c r="C16" s="4" t="s">
        <v>80</v>
      </c>
      <c r="D16" s="5" t="s">
        <v>36</v>
      </c>
      <c r="E16" s="4" t="s">
        <v>36</v>
      </c>
      <c r="F16" s="4" t="s">
        <v>18</v>
      </c>
    </row>
    <row r="17">
      <c r="A17" s="4">
        <v>16.0</v>
      </c>
      <c r="B17" s="4" t="s">
        <v>82</v>
      </c>
      <c r="C17" s="4" t="s">
        <v>83</v>
      </c>
      <c r="D17" s="5" t="s">
        <v>36</v>
      </c>
      <c r="E17" s="4" t="s">
        <v>36</v>
      </c>
      <c r="F17" s="4" t="s">
        <v>18</v>
      </c>
    </row>
    <row r="18">
      <c r="A18" s="4">
        <v>17.0</v>
      </c>
      <c r="B18" s="4" t="s">
        <v>85</v>
      </c>
      <c r="C18" s="4" t="s">
        <v>87</v>
      </c>
      <c r="D18" s="5" t="s">
        <v>36</v>
      </c>
      <c r="E18" s="4" t="s">
        <v>36</v>
      </c>
      <c r="F18" s="4" t="s">
        <v>18</v>
      </c>
    </row>
    <row r="19" ht="15.75" customHeight="1">
      <c r="A19" s="4">
        <v>18.0</v>
      </c>
      <c r="B19" s="4" t="s">
        <v>91</v>
      </c>
      <c r="C19" s="4" t="s">
        <v>93</v>
      </c>
      <c r="D19" s="5" t="s">
        <v>36</v>
      </c>
      <c r="E19" s="4" t="s">
        <v>36</v>
      </c>
      <c r="F19" s="4" t="s">
        <v>18</v>
      </c>
    </row>
    <row r="20" ht="15.75" customHeight="1">
      <c r="A20" s="7"/>
      <c r="B20" s="6" t="s">
        <v>97</v>
      </c>
      <c r="C20" s="7"/>
      <c r="D20" s="6">
        <v>2.402594E7</v>
      </c>
      <c r="E20" s="7"/>
      <c r="F20" s="7"/>
    </row>
    <row r="21" ht="15.75" customHeight="1"/>
    <row r="22" ht="15.75" customHeight="1">
      <c r="A22" s="1" t="s">
        <v>101</v>
      </c>
    </row>
    <row r="23" ht="15.75" customHeight="1">
      <c r="A23" s="3" t="s">
        <v>86</v>
      </c>
      <c r="B23" s="3" t="s">
        <v>88</v>
      </c>
      <c r="C23" s="3" t="s">
        <v>89</v>
      </c>
      <c r="D23" s="3" t="s">
        <v>90</v>
      </c>
    </row>
    <row r="24" ht="15.75" customHeight="1">
      <c r="A24" s="4" t="s">
        <v>107</v>
      </c>
      <c r="B24" s="4">
        <v>2.5286616E7</v>
      </c>
      <c r="C24" s="4" t="s">
        <v>109</v>
      </c>
      <c r="D24" s="4" t="s">
        <v>110</v>
      </c>
    </row>
    <row r="25" ht="15.75" customHeight="1">
      <c r="A25" s="4" t="s">
        <v>112</v>
      </c>
      <c r="B25" s="4">
        <v>2.4965218E7</v>
      </c>
      <c r="C25" s="4" t="s">
        <v>115</v>
      </c>
      <c r="D25" s="4" t="s">
        <v>116</v>
      </c>
    </row>
    <row r="26" ht="15.75" customHeight="1">
      <c r="A26" s="4" t="s">
        <v>100</v>
      </c>
      <c r="B26" s="4">
        <v>2.402594E7</v>
      </c>
      <c r="C26" s="4" t="s">
        <v>119</v>
      </c>
      <c r="D26" s="4" t="s">
        <v>120</v>
      </c>
    </row>
    <row r="27" ht="15.75" customHeight="1">
      <c r="A27" s="4" t="s">
        <v>104</v>
      </c>
      <c r="B27" s="4">
        <v>939278.0</v>
      </c>
      <c r="C27" s="4" t="s">
        <v>123</v>
      </c>
      <c r="D27" s="4" t="s">
        <v>124</v>
      </c>
    </row>
    <row r="28" ht="15.75" customHeight="1">
      <c r="A28" s="4" t="s">
        <v>126</v>
      </c>
      <c r="B28" s="4">
        <v>8.7209007E7</v>
      </c>
      <c r="C28" s="4" t="s">
        <v>128</v>
      </c>
      <c r="D28" s="4" t="s">
        <v>129</v>
      </c>
    </row>
    <row r="29" ht="15.75" customHeight="1">
      <c r="A29" s="3" t="s">
        <v>86</v>
      </c>
      <c r="B29" s="3" t="s">
        <v>88</v>
      </c>
      <c r="C29" s="3" t="s">
        <v>132</v>
      </c>
    </row>
    <row r="30" ht="15.75" customHeight="1">
      <c r="A30" s="4" t="s">
        <v>134</v>
      </c>
      <c r="B30" s="4">
        <v>9.3469008E7</v>
      </c>
      <c r="C30" s="4" t="s">
        <v>137</v>
      </c>
    </row>
    <row r="31" ht="15.75" customHeight="1">
      <c r="A31" s="4" t="s">
        <v>138</v>
      </c>
      <c r="B31" s="4">
        <v>8.7209007E7</v>
      </c>
      <c r="C31" s="4" t="s">
        <v>139</v>
      </c>
    </row>
    <row r="32" ht="15.75" customHeight="1">
      <c r="A32" s="4" t="s">
        <v>140</v>
      </c>
      <c r="B32" s="4" t="s">
        <v>141</v>
      </c>
      <c r="C32" s="4" t="s">
        <v>142</v>
      </c>
    </row>
    <row r="33" ht="15.75" customHeight="1">
      <c r="A33" s="4" t="s">
        <v>143</v>
      </c>
      <c r="B33" s="4" t="s">
        <v>144</v>
      </c>
      <c r="C33" s="4" t="s">
        <v>145</v>
      </c>
    </row>
    <row r="34" ht="15.75" customHeight="1">
      <c r="A34" s="4" t="s">
        <v>131</v>
      </c>
      <c r="B34" s="4">
        <v>18.0</v>
      </c>
      <c r="C34" s="4" t="s">
        <v>146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22:D22"/>
  </mergeCells>
  <printOptions/>
  <pageMargins bottom="1.0" footer="0.0" header="0.0" left="0.75" right="0.75" top="1.0"/>
  <pageSetup orientation="landscape"/>
  <drawing r:id="rId1"/>
</worksheet>
</file>